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ding_Bot\"/>
    </mc:Choice>
  </mc:AlternateContent>
  <xr:revisionPtr revIDLastSave="0" documentId="13_ncr:1_{F2B0B2B4-3D67-4725-9015-FDEEBB29353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B3" sheetId="5" r:id="rId1"/>
    <sheet name="B2" sheetId="4" r:id="rId2"/>
    <sheet name="B1" sheetId="1" r:id="rId3"/>
    <sheet name="SENSEX" sheetId="2" r:id="rId4"/>
    <sheet name="NIFTY" sheetId="3" r:id="rId5"/>
  </sheets>
  <definedNames>
    <definedName name="_xlnm._FilterDatabase" localSheetId="2" hidden="1">'B1'!$A$1:$S$85</definedName>
    <definedName name="_xlnm._FilterDatabase" localSheetId="1" hidden="1">'B2'!$A$1:$S$85</definedName>
    <definedName name="_xlnm._FilterDatabase" localSheetId="0" hidden="1">'B3'!$A$1:$S$85</definedName>
  </definedNames>
  <calcPr calcId="191029"/>
</workbook>
</file>

<file path=xl/calcChain.xml><?xml version="1.0" encoding="utf-8"?>
<calcChain xmlns="http://schemas.openxmlformats.org/spreadsheetml/2006/main">
  <c r="O3" i="5" l="1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2" i="5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2" i="4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" i="1"/>
  <c r="O4" i="1"/>
  <c r="O5" i="1"/>
  <c r="O6" i="1"/>
  <c r="O7" i="1"/>
  <c r="O8" i="1"/>
  <c r="O2" i="1"/>
  <c r="R59" i="5"/>
  <c r="R60" i="5"/>
  <c r="R61" i="5"/>
  <c r="R62" i="5"/>
  <c r="R63" i="5"/>
  <c r="R64" i="5"/>
  <c r="R65" i="5"/>
  <c r="S65" i="5" s="1"/>
  <c r="R66" i="5"/>
  <c r="S66" i="5" s="1"/>
  <c r="R67" i="5"/>
  <c r="R68" i="5"/>
  <c r="R69" i="5"/>
  <c r="R70" i="5"/>
  <c r="R71" i="5"/>
  <c r="R72" i="5"/>
  <c r="R73" i="5"/>
  <c r="S73" i="5" s="1"/>
  <c r="R74" i="5"/>
  <c r="S74" i="5" s="1"/>
  <c r="R75" i="5"/>
  <c r="R76" i="5"/>
  <c r="R77" i="5"/>
  <c r="R78" i="5"/>
  <c r="R79" i="5"/>
  <c r="R80" i="5"/>
  <c r="S80" i="5" s="1"/>
  <c r="R81" i="5"/>
  <c r="S81" i="5" s="1"/>
  <c r="R82" i="5"/>
  <c r="S82" i="5" s="1"/>
  <c r="R83" i="5"/>
  <c r="R84" i="5"/>
  <c r="R85" i="5"/>
  <c r="R58" i="5"/>
  <c r="S58" i="5" s="1"/>
  <c r="R31" i="5"/>
  <c r="R32" i="5"/>
  <c r="R33" i="5"/>
  <c r="R34" i="5"/>
  <c r="R35" i="5"/>
  <c r="R36" i="5"/>
  <c r="R37" i="5"/>
  <c r="R38" i="5"/>
  <c r="S38" i="5" s="1"/>
  <c r="R39" i="5"/>
  <c r="R40" i="5"/>
  <c r="R41" i="5"/>
  <c r="R42" i="5"/>
  <c r="R43" i="5"/>
  <c r="R44" i="5"/>
  <c r="R45" i="5"/>
  <c r="R46" i="5"/>
  <c r="S46" i="5" s="1"/>
  <c r="R47" i="5"/>
  <c r="R48" i="5"/>
  <c r="R49" i="5"/>
  <c r="R50" i="5"/>
  <c r="R51" i="5"/>
  <c r="R52" i="5"/>
  <c r="R53" i="5"/>
  <c r="S53" i="5" s="1"/>
  <c r="R54" i="5"/>
  <c r="S54" i="5" s="1"/>
  <c r="R55" i="5"/>
  <c r="R56" i="5"/>
  <c r="R57" i="5"/>
  <c r="R30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2" i="5"/>
  <c r="S85" i="5"/>
  <c r="Q85" i="5"/>
  <c r="S84" i="5"/>
  <c r="Q84" i="5"/>
  <c r="S83" i="5"/>
  <c r="Q83" i="5"/>
  <c r="Q82" i="5"/>
  <c r="Q81" i="5"/>
  <c r="Q80" i="5"/>
  <c r="S79" i="5"/>
  <c r="Q79" i="5"/>
  <c r="S78" i="5"/>
  <c r="Q78" i="5"/>
  <c r="S77" i="5"/>
  <c r="Q77" i="5"/>
  <c r="S76" i="5"/>
  <c r="Q76" i="5"/>
  <c r="S75" i="5"/>
  <c r="Q75" i="5"/>
  <c r="Q74" i="5"/>
  <c r="Q73" i="5"/>
  <c r="S72" i="5"/>
  <c r="Q72" i="5"/>
  <c r="S71" i="5"/>
  <c r="Q71" i="5"/>
  <c r="S70" i="5"/>
  <c r="Q70" i="5"/>
  <c r="S69" i="5"/>
  <c r="Q69" i="5"/>
  <c r="S68" i="5"/>
  <c r="Q68" i="5"/>
  <c r="S67" i="5"/>
  <c r="Q67" i="5"/>
  <c r="Q66" i="5"/>
  <c r="Q65" i="5"/>
  <c r="S64" i="5"/>
  <c r="Q64" i="5"/>
  <c r="S63" i="5"/>
  <c r="Q63" i="5"/>
  <c r="S62" i="5"/>
  <c r="Q62" i="5"/>
  <c r="S61" i="5"/>
  <c r="Q61" i="5"/>
  <c r="S60" i="5"/>
  <c r="Q60" i="5"/>
  <c r="S59" i="5"/>
  <c r="Q59" i="5"/>
  <c r="Q58" i="5"/>
  <c r="S57" i="5"/>
  <c r="Q57" i="5"/>
  <c r="S56" i="5"/>
  <c r="Q56" i="5"/>
  <c r="S55" i="5"/>
  <c r="Q55" i="5"/>
  <c r="Q54" i="5"/>
  <c r="Q53" i="5"/>
  <c r="S52" i="5"/>
  <c r="Q52" i="5"/>
  <c r="S51" i="5"/>
  <c r="Q51" i="5"/>
  <c r="S50" i="5"/>
  <c r="Q50" i="5"/>
  <c r="S49" i="5"/>
  <c r="Q49" i="5"/>
  <c r="S48" i="5"/>
  <c r="Q48" i="5"/>
  <c r="S47" i="5"/>
  <c r="Q47" i="5"/>
  <c r="Q46" i="5"/>
  <c r="S45" i="5"/>
  <c r="Q45" i="5"/>
  <c r="S44" i="5"/>
  <c r="Q44" i="5"/>
  <c r="S43" i="5"/>
  <c r="Q43" i="5"/>
  <c r="S42" i="5"/>
  <c r="Q42" i="5"/>
  <c r="S41" i="5"/>
  <c r="Q41" i="5"/>
  <c r="S40" i="5"/>
  <c r="Q40" i="5"/>
  <c r="S39" i="5"/>
  <c r="Q39" i="5"/>
  <c r="Q38" i="5"/>
  <c r="S37" i="5"/>
  <c r="Q37" i="5"/>
  <c r="S36" i="5"/>
  <c r="Q36" i="5"/>
  <c r="S35" i="5"/>
  <c r="Q35" i="5"/>
  <c r="S34" i="5"/>
  <c r="Q34" i="5"/>
  <c r="S33" i="5"/>
  <c r="Q33" i="5"/>
  <c r="S32" i="5"/>
  <c r="Q32" i="5"/>
  <c r="S31" i="5"/>
  <c r="Q31" i="5"/>
  <c r="S30" i="5"/>
  <c r="Q30" i="5"/>
  <c r="R59" i="4"/>
  <c r="R60" i="4"/>
  <c r="R61" i="4"/>
  <c r="R62" i="4"/>
  <c r="R63" i="4"/>
  <c r="R64" i="4"/>
  <c r="R65" i="4"/>
  <c r="S65" i="4" s="1"/>
  <c r="R66" i="4"/>
  <c r="S66" i="4" s="1"/>
  <c r="R67" i="4"/>
  <c r="R68" i="4"/>
  <c r="R69" i="4"/>
  <c r="R70" i="4"/>
  <c r="R71" i="4"/>
  <c r="R72" i="4"/>
  <c r="R73" i="4"/>
  <c r="S73" i="4" s="1"/>
  <c r="R74" i="4"/>
  <c r="S74" i="4" s="1"/>
  <c r="R75" i="4"/>
  <c r="R76" i="4"/>
  <c r="R77" i="4"/>
  <c r="R78" i="4"/>
  <c r="R79" i="4"/>
  <c r="R80" i="4"/>
  <c r="R81" i="4"/>
  <c r="S81" i="4" s="1"/>
  <c r="R82" i="4"/>
  <c r="S82" i="4" s="1"/>
  <c r="R83" i="4"/>
  <c r="R84" i="4"/>
  <c r="R85" i="4"/>
  <c r="R58" i="4"/>
  <c r="R31" i="4"/>
  <c r="R32" i="4"/>
  <c r="R33" i="4"/>
  <c r="R34" i="4"/>
  <c r="R35" i="4"/>
  <c r="R36" i="4"/>
  <c r="R37" i="4"/>
  <c r="R38" i="4"/>
  <c r="S38" i="4" s="1"/>
  <c r="R39" i="4"/>
  <c r="R40" i="4"/>
  <c r="R41" i="4"/>
  <c r="R42" i="4"/>
  <c r="R43" i="4"/>
  <c r="R44" i="4"/>
  <c r="R45" i="4"/>
  <c r="R46" i="4"/>
  <c r="S46" i="4" s="1"/>
  <c r="R47" i="4"/>
  <c r="R48" i="4"/>
  <c r="R49" i="4"/>
  <c r="R50" i="4"/>
  <c r="R51" i="4"/>
  <c r="R52" i="4"/>
  <c r="R53" i="4"/>
  <c r="R54" i="4"/>
  <c r="S54" i="4" s="1"/>
  <c r="R55" i="4"/>
  <c r="R56" i="4"/>
  <c r="R57" i="4"/>
  <c r="R30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2" i="4"/>
  <c r="S85" i="4"/>
  <c r="Q85" i="4"/>
  <c r="S84" i="4"/>
  <c r="Q84" i="4"/>
  <c r="S83" i="4"/>
  <c r="Q83" i="4"/>
  <c r="Q82" i="4"/>
  <c r="Q81" i="4"/>
  <c r="S80" i="4"/>
  <c r="Q80" i="4"/>
  <c r="S79" i="4"/>
  <c r="Q79" i="4"/>
  <c r="S78" i="4"/>
  <c r="Q78" i="4"/>
  <c r="S77" i="4"/>
  <c r="Q77" i="4"/>
  <c r="S76" i="4"/>
  <c r="Q76" i="4"/>
  <c r="S75" i="4"/>
  <c r="Q75" i="4"/>
  <c r="Q74" i="4"/>
  <c r="Q73" i="4"/>
  <c r="S72" i="4"/>
  <c r="Q72" i="4"/>
  <c r="S71" i="4"/>
  <c r="Q71" i="4"/>
  <c r="S70" i="4"/>
  <c r="Q70" i="4"/>
  <c r="S69" i="4"/>
  <c r="Q69" i="4"/>
  <c r="S68" i="4"/>
  <c r="Q68" i="4"/>
  <c r="S67" i="4"/>
  <c r="Q67" i="4"/>
  <c r="Q66" i="4"/>
  <c r="Q65" i="4"/>
  <c r="S64" i="4"/>
  <c r="Q64" i="4"/>
  <c r="S63" i="4"/>
  <c r="Q63" i="4"/>
  <c r="S62" i="4"/>
  <c r="Q62" i="4"/>
  <c r="S61" i="4"/>
  <c r="Q61" i="4"/>
  <c r="S60" i="4"/>
  <c r="Q60" i="4"/>
  <c r="S59" i="4"/>
  <c r="Q59" i="4"/>
  <c r="S58" i="4"/>
  <c r="Q58" i="4"/>
  <c r="S57" i="4"/>
  <c r="Q57" i="4"/>
  <c r="S56" i="4"/>
  <c r="Q56" i="4"/>
  <c r="S55" i="4"/>
  <c r="Q55" i="4"/>
  <c r="Q54" i="4"/>
  <c r="S53" i="4"/>
  <c r="Q53" i="4"/>
  <c r="S52" i="4"/>
  <c r="Q52" i="4"/>
  <c r="S51" i="4"/>
  <c r="Q51" i="4"/>
  <c r="S50" i="4"/>
  <c r="Q50" i="4"/>
  <c r="S49" i="4"/>
  <c r="Q49" i="4"/>
  <c r="S48" i="4"/>
  <c r="Q48" i="4"/>
  <c r="S47" i="4"/>
  <c r="Q47" i="4"/>
  <c r="Q46" i="4"/>
  <c r="S45" i="4"/>
  <c r="Q45" i="4"/>
  <c r="S44" i="4"/>
  <c r="Q44" i="4"/>
  <c r="S43" i="4"/>
  <c r="Q43" i="4"/>
  <c r="S42" i="4"/>
  <c r="Q42" i="4"/>
  <c r="S41" i="4"/>
  <c r="Q41" i="4"/>
  <c r="S40" i="4"/>
  <c r="Q40" i="4"/>
  <c r="S39" i="4"/>
  <c r="Q39" i="4"/>
  <c r="Q38" i="4"/>
  <c r="S37" i="4"/>
  <c r="Q37" i="4"/>
  <c r="S36" i="4"/>
  <c r="Q36" i="4"/>
  <c r="S35" i="4"/>
  <c r="Q35" i="4"/>
  <c r="S34" i="4"/>
  <c r="Q34" i="4"/>
  <c r="S33" i="4"/>
  <c r="Q33" i="4"/>
  <c r="S32" i="4"/>
  <c r="Q32" i="4"/>
  <c r="S31" i="4"/>
  <c r="Q31" i="4"/>
  <c r="S30" i="4"/>
  <c r="Q30" i="4"/>
  <c r="P59" i="1"/>
  <c r="P60" i="1"/>
  <c r="P61" i="1"/>
  <c r="P62" i="1"/>
  <c r="P63" i="1"/>
  <c r="P64" i="1"/>
  <c r="Q64" i="1" s="1"/>
  <c r="P65" i="1"/>
  <c r="P66" i="1"/>
  <c r="Q66" i="1" s="1"/>
  <c r="P67" i="1"/>
  <c r="P68" i="1"/>
  <c r="P69" i="1"/>
  <c r="P70" i="1"/>
  <c r="P71" i="1"/>
  <c r="P72" i="1"/>
  <c r="Q72" i="1" s="1"/>
  <c r="P73" i="1"/>
  <c r="P74" i="1"/>
  <c r="Q74" i="1" s="1"/>
  <c r="P75" i="1"/>
  <c r="P76" i="1"/>
  <c r="P77" i="1"/>
  <c r="P78" i="1"/>
  <c r="P79" i="1"/>
  <c r="P80" i="1"/>
  <c r="Q80" i="1" s="1"/>
  <c r="P81" i="1"/>
  <c r="P82" i="1"/>
  <c r="Q82" i="1" s="1"/>
  <c r="P83" i="1"/>
  <c r="P84" i="1"/>
  <c r="P85" i="1"/>
  <c r="P58" i="1"/>
  <c r="Q58" i="1" s="1"/>
  <c r="P57" i="1"/>
  <c r="Q57" i="1" s="1"/>
  <c r="R59" i="1"/>
  <c r="R60" i="1"/>
  <c r="R61" i="1"/>
  <c r="R62" i="1"/>
  <c r="R63" i="1"/>
  <c r="R64" i="1"/>
  <c r="S64" i="1" s="1"/>
  <c r="R65" i="1"/>
  <c r="R66" i="1"/>
  <c r="R67" i="1"/>
  <c r="R68" i="1"/>
  <c r="R69" i="1"/>
  <c r="R70" i="1"/>
  <c r="R71" i="1"/>
  <c r="R72" i="1"/>
  <c r="S72" i="1" s="1"/>
  <c r="R73" i="1"/>
  <c r="R74" i="1"/>
  <c r="R75" i="1"/>
  <c r="S75" i="1" s="1"/>
  <c r="R76" i="1"/>
  <c r="R77" i="1"/>
  <c r="R78" i="1"/>
  <c r="R79" i="1"/>
  <c r="R80" i="1"/>
  <c r="S80" i="1" s="1"/>
  <c r="R81" i="1"/>
  <c r="S81" i="1" s="1"/>
  <c r="R82" i="1"/>
  <c r="R83" i="1"/>
  <c r="R84" i="1"/>
  <c r="R85" i="1"/>
  <c r="S85" i="1" s="1"/>
  <c r="R58" i="1"/>
  <c r="S58" i="1" s="1"/>
  <c r="Q65" i="1"/>
  <c r="Q79" i="1"/>
  <c r="Q81" i="1"/>
  <c r="Q85" i="1"/>
  <c r="S84" i="1"/>
  <c r="Q84" i="1"/>
  <c r="S83" i="1"/>
  <c r="Q83" i="1"/>
  <c r="S82" i="1"/>
  <c r="S79" i="1"/>
  <c r="S78" i="1"/>
  <c r="Q78" i="1"/>
  <c r="S77" i="1"/>
  <c r="Q77" i="1"/>
  <c r="S76" i="1"/>
  <c r="Q76" i="1"/>
  <c r="Q75" i="1"/>
  <c r="S74" i="1"/>
  <c r="S73" i="1"/>
  <c r="Q73" i="1"/>
  <c r="S71" i="1"/>
  <c r="Q71" i="1"/>
  <c r="S70" i="1"/>
  <c r="Q70" i="1"/>
  <c r="S69" i="1"/>
  <c r="Q69" i="1"/>
  <c r="S68" i="1"/>
  <c r="Q68" i="1"/>
  <c r="S67" i="1"/>
  <c r="Q67" i="1"/>
  <c r="S66" i="1"/>
  <c r="S65" i="1"/>
  <c r="S63" i="1"/>
  <c r="Q63" i="1"/>
  <c r="S62" i="1"/>
  <c r="Q62" i="1"/>
  <c r="S61" i="1"/>
  <c r="Q61" i="1"/>
  <c r="S60" i="1"/>
  <c r="Q60" i="1"/>
  <c r="S59" i="1"/>
  <c r="Q59" i="1"/>
  <c r="S32" i="1"/>
  <c r="S33" i="1"/>
  <c r="S38" i="1"/>
  <c r="S40" i="1"/>
  <c r="S41" i="1"/>
  <c r="S46" i="1"/>
  <c r="S48" i="1"/>
  <c r="S49" i="1"/>
  <c r="S54" i="1"/>
  <c r="S56" i="1"/>
  <c r="S57" i="1"/>
  <c r="R31" i="1"/>
  <c r="S31" i="1" s="1"/>
  <c r="R32" i="1"/>
  <c r="R33" i="1"/>
  <c r="R34" i="1"/>
  <c r="S34" i="1" s="1"/>
  <c r="R35" i="1"/>
  <c r="S35" i="1" s="1"/>
  <c r="R36" i="1"/>
  <c r="S36" i="1" s="1"/>
  <c r="R37" i="1"/>
  <c r="S37" i="1" s="1"/>
  <c r="R38" i="1"/>
  <c r="R39" i="1"/>
  <c r="S39" i="1" s="1"/>
  <c r="R40" i="1"/>
  <c r="R41" i="1"/>
  <c r="R42" i="1"/>
  <c r="S42" i="1" s="1"/>
  <c r="R43" i="1"/>
  <c r="S43" i="1" s="1"/>
  <c r="R44" i="1"/>
  <c r="S44" i="1" s="1"/>
  <c r="R45" i="1"/>
  <c r="S45" i="1" s="1"/>
  <c r="R46" i="1"/>
  <c r="R47" i="1"/>
  <c r="S47" i="1" s="1"/>
  <c r="R48" i="1"/>
  <c r="R49" i="1"/>
  <c r="R50" i="1"/>
  <c r="S50" i="1" s="1"/>
  <c r="R51" i="1"/>
  <c r="S51" i="1" s="1"/>
  <c r="R52" i="1"/>
  <c r="S52" i="1" s="1"/>
  <c r="R53" i="1"/>
  <c r="S53" i="1" s="1"/>
  <c r="R54" i="1"/>
  <c r="R55" i="1"/>
  <c r="S55" i="1" s="1"/>
  <c r="R56" i="1"/>
  <c r="R57" i="1"/>
  <c r="R30" i="1"/>
  <c r="S30" i="1" s="1"/>
  <c r="Q33" i="1"/>
  <c r="Q38" i="1"/>
  <c r="Q39" i="1"/>
  <c r="Q41" i="1"/>
  <c r="Q42" i="1"/>
  <c r="Q46" i="1"/>
  <c r="Q48" i="1"/>
  <c r="Q51" i="1"/>
  <c r="Q52" i="1"/>
  <c r="Q54" i="1"/>
  <c r="P31" i="1"/>
  <c r="Q31" i="1" s="1"/>
  <c r="P32" i="1"/>
  <c r="Q32" i="1" s="1"/>
  <c r="P33" i="1"/>
  <c r="P34" i="1"/>
  <c r="Q34" i="1" s="1"/>
  <c r="P35" i="1"/>
  <c r="Q35" i="1" s="1"/>
  <c r="P36" i="1"/>
  <c r="Q36" i="1" s="1"/>
  <c r="P37" i="1"/>
  <c r="Q37" i="1" s="1"/>
  <c r="P38" i="1"/>
  <c r="P39" i="1"/>
  <c r="P40" i="1"/>
  <c r="Q40" i="1" s="1"/>
  <c r="P41" i="1"/>
  <c r="P42" i="1"/>
  <c r="P43" i="1"/>
  <c r="Q43" i="1" s="1"/>
  <c r="P44" i="1"/>
  <c r="Q44" i="1" s="1"/>
  <c r="P45" i="1"/>
  <c r="Q45" i="1" s="1"/>
  <c r="P46" i="1"/>
  <c r="P47" i="1"/>
  <c r="Q47" i="1" s="1"/>
  <c r="P48" i="1"/>
  <c r="P49" i="1"/>
  <c r="Q49" i="1" s="1"/>
  <c r="P50" i="1"/>
  <c r="Q50" i="1" s="1"/>
  <c r="P51" i="1"/>
  <c r="P52" i="1"/>
  <c r="P53" i="1"/>
  <c r="Q53" i="1" s="1"/>
  <c r="P54" i="1"/>
  <c r="P55" i="1"/>
  <c r="Q55" i="1" s="1"/>
  <c r="P56" i="1"/>
  <c r="Q56" i="1" s="1"/>
  <c r="P30" i="1"/>
  <c r="Q30" i="1" s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10" i="1"/>
  <c r="G11" i="1"/>
  <c r="G12" i="1"/>
  <c r="G13" i="1"/>
  <c r="G14" i="1"/>
  <c r="G15" i="1"/>
  <c r="G9" i="1"/>
  <c r="G3" i="1"/>
  <c r="G4" i="1"/>
  <c r="G5" i="1"/>
  <c r="G6" i="1"/>
  <c r="G7" i="1"/>
  <c r="G8" i="1"/>
  <c r="G2" i="1"/>
  <c r="J30" i="2"/>
  <c r="B30" i="2" s="1"/>
  <c r="C30" i="2" s="1"/>
  <c r="J29" i="2"/>
  <c r="B29" i="2" s="1"/>
  <c r="C29" i="2" s="1"/>
  <c r="J28" i="2"/>
  <c r="B28" i="2" s="1"/>
  <c r="C28" i="2" s="1"/>
  <c r="J27" i="2"/>
  <c r="B27" i="2" s="1"/>
  <c r="C27" i="2" s="1"/>
  <c r="J26" i="2"/>
  <c r="B26" i="2" s="1"/>
  <c r="C26" i="2" s="1"/>
  <c r="J25" i="2"/>
  <c r="B25" i="2" s="1"/>
  <c r="C25" i="2" s="1"/>
  <c r="J24" i="2"/>
  <c r="B24" i="2" s="1"/>
  <c r="C24" i="2" s="1"/>
  <c r="J23" i="2"/>
  <c r="B23" i="2" s="1"/>
  <c r="C23" i="2" s="1"/>
  <c r="J22" i="2"/>
  <c r="B22" i="2" s="1"/>
  <c r="C22" i="2" s="1"/>
  <c r="J21" i="2"/>
  <c r="B21" i="2" s="1"/>
  <c r="C21" i="2" s="1"/>
  <c r="J20" i="2"/>
  <c r="B20" i="2" s="1"/>
  <c r="C20" i="2" s="1"/>
  <c r="J19" i="2"/>
  <c r="B19" i="2" s="1"/>
  <c r="C19" i="2" s="1"/>
  <c r="J18" i="2"/>
  <c r="B18" i="2" s="1"/>
  <c r="C18" i="2" s="1"/>
  <c r="J17" i="2"/>
  <c r="B17" i="2" s="1"/>
  <c r="C17" i="2" s="1"/>
  <c r="J16" i="2"/>
  <c r="B16" i="2" s="1"/>
  <c r="C16" i="2" s="1"/>
  <c r="J15" i="2"/>
  <c r="B15" i="2" s="1"/>
  <c r="C15" i="2" s="1"/>
  <c r="J14" i="2"/>
  <c r="B14" i="2" s="1"/>
  <c r="C14" i="2" s="1"/>
  <c r="J13" i="2"/>
  <c r="B13" i="2" s="1"/>
  <c r="C13" i="2" s="1"/>
  <c r="J12" i="2"/>
  <c r="B12" i="2" s="1"/>
  <c r="C12" i="2" s="1"/>
  <c r="J11" i="2"/>
  <c r="B11" i="2" s="1"/>
  <c r="C11" i="2" s="1"/>
  <c r="J10" i="2"/>
  <c r="B10" i="2" s="1"/>
  <c r="C10" i="2" s="1"/>
  <c r="J9" i="2"/>
  <c r="B9" i="2" s="1"/>
  <c r="C9" i="2" s="1"/>
  <c r="J8" i="2"/>
  <c r="B8" i="2" s="1"/>
  <c r="C8" i="2" s="1"/>
  <c r="J7" i="2"/>
  <c r="B7" i="2" s="1"/>
  <c r="C7" i="2" s="1"/>
  <c r="J6" i="2"/>
  <c r="B6" i="2" s="1"/>
  <c r="C6" i="2" s="1"/>
  <c r="J5" i="2"/>
  <c r="B5" i="2" s="1"/>
  <c r="C5" i="2" s="1"/>
  <c r="J4" i="2"/>
  <c r="B4" i="2" s="1"/>
  <c r="C4" i="2" s="1"/>
  <c r="J3" i="2"/>
  <c r="B3" i="2" s="1"/>
  <c r="C3" i="2" s="1"/>
  <c r="P30" i="2" l="1"/>
  <c r="Q30" i="2" s="1"/>
  <c r="P29" i="2"/>
  <c r="Q29" i="2" s="1"/>
  <c r="P28" i="2"/>
  <c r="Q28" i="2" s="1"/>
  <c r="P27" i="2"/>
  <c r="Q27" i="2" s="1"/>
  <c r="P26" i="2"/>
  <c r="Q26" i="2" s="1"/>
  <c r="P25" i="2"/>
  <c r="Q25" i="2" s="1"/>
  <c r="P24" i="2"/>
  <c r="Q24" i="2" s="1"/>
  <c r="P23" i="2"/>
  <c r="Q23" i="2" s="1"/>
  <c r="P22" i="2"/>
  <c r="Q22" i="2" s="1"/>
  <c r="P21" i="2"/>
  <c r="Q21" i="2" s="1"/>
  <c r="P20" i="2"/>
  <c r="Q20" i="2" s="1"/>
  <c r="P19" i="2"/>
  <c r="Q19" i="2" s="1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M30" i="2"/>
  <c r="M29" i="2"/>
  <c r="M28" i="2"/>
  <c r="M27" i="2"/>
  <c r="M26" i="2"/>
  <c r="M25" i="2"/>
  <c r="M24" i="2"/>
  <c r="M22" i="2"/>
  <c r="M23" i="2"/>
  <c r="M21" i="2"/>
  <c r="M20" i="2"/>
  <c r="M19" i="2"/>
  <c r="M18" i="2"/>
  <c r="M17" i="2"/>
  <c r="M16" i="2"/>
  <c r="Q16" i="2" s="1"/>
  <c r="M15" i="2"/>
  <c r="M14" i="2"/>
  <c r="Q14" i="2" s="1"/>
  <c r="M13" i="2"/>
  <c r="Q13" i="2" s="1"/>
  <c r="M12" i="2"/>
  <c r="Q12" i="2" s="1"/>
  <c r="M11" i="2"/>
  <c r="M10" i="2"/>
  <c r="M9" i="2"/>
  <c r="M8" i="2"/>
  <c r="Q8" i="2" s="1"/>
  <c r="M7" i="2"/>
  <c r="M6" i="2"/>
  <c r="Q6" i="2" s="1"/>
  <c r="M5" i="2"/>
  <c r="Q5" i="2" s="1"/>
  <c r="M4" i="2"/>
  <c r="Q4" i="2" s="1"/>
  <c r="M3" i="2"/>
  <c r="Q3" i="2" s="1"/>
  <c r="A78" i="5" l="1"/>
  <c r="A22" i="5"/>
  <c r="A50" i="5"/>
  <c r="A12" i="5"/>
  <c r="A40" i="5"/>
  <c r="A68" i="5"/>
  <c r="A69" i="5"/>
  <c r="A41" i="5"/>
  <c r="A13" i="5"/>
  <c r="A35" i="5"/>
  <c r="A63" i="5"/>
  <c r="A7" i="5"/>
  <c r="A43" i="5"/>
  <c r="A71" i="5"/>
  <c r="A15" i="5"/>
  <c r="A51" i="5"/>
  <c r="A23" i="5"/>
  <c r="A79" i="5"/>
  <c r="A80" i="5"/>
  <c r="A24" i="5"/>
  <c r="A52" i="5"/>
  <c r="A76" i="5"/>
  <c r="A20" i="5"/>
  <c r="A48" i="5"/>
  <c r="A81" i="5"/>
  <c r="A25" i="5"/>
  <c r="A53" i="5"/>
  <c r="A33" i="5"/>
  <c r="A5" i="5"/>
  <c r="A61" i="5"/>
  <c r="A49" i="5"/>
  <c r="A21" i="5"/>
  <c r="A77" i="5"/>
  <c r="A2" i="5"/>
  <c r="A58" i="5"/>
  <c r="A30" i="5"/>
  <c r="A46" i="5"/>
  <c r="A74" i="5"/>
  <c r="A18" i="5"/>
  <c r="A26" i="5"/>
  <c r="A54" i="5"/>
  <c r="A82" i="5"/>
  <c r="A4" i="5"/>
  <c r="A32" i="5"/>
  <c r="A60" i="5"/>
  <c r="A3" i="5"/>
  <c r="A31" i="5"/>
  <c r="A59" i="5"/>
  <c r="A39" i="5"/>
  <c r="A11" i="5"/>
  <c r="A67" i="5"/>
  <c r="A75" i="5"/>
  <c r="A19" i="5"/>
  <c r="A47" i="5"/>
  <c r="A55" i="5"/>
  <c r="A27" i="5"/>
  <c r="A83" i="5"/>
  <c r="A84" i="5"/>
  <c r="A56" i="5"/>
  <c r="A28" i="5"/>
  <c r="A29" i="5"/>
  <c r="A57" i="5"/>
  <c r="A85" i="5"/>
  <c r="A61" i="4"/>
  <c r="A33" i="4"/>
  <c r="A5" i="4"/>
  <c r="A43" i="4"/>
  <c r="A71" i="4"/>
  <c r="A15" i="4"/>
  <c r="A23" i="4"/>
  <c r="A51" i="4"/>
  <c r="A79" i="4"/>
  <c r="A32" i="4"/>
  <c r="A4" i="4"/>
  <c r="A60" i="4"/>
  <c r="A50" i="4"/>
  <c r="A22" i="4"/>
  <c r="A78" i="4"/>
  <c r="A80" i="4"/>
  <c r="A24" i="4"/>
  <c r="A52" i="4"/>
  <c r="A59" i="4"/>
  <c r="A3" i="4"/>
  <c r="A31" i="4"/>
  <c r="A7" i="4"/>
  <c r="A63" i="4"/>
  <c r="A35" i="4"/>
  <c r="A53" i="4"/>
  <c r="A25" i="4"/>
  <c r="A81" i="4"/>
  <c r="A58" i="4"/>
  <c r="A30" i="4"/>
  <c r="A2" i="4"/>
  <c r="A74" i="4"/>
  <c r="A46" i="4"/>
  <c r="A18" i="4"/>
  <c r="A26" i="4"/>
  <c r="A82" i="4"/>
  <c r="A54" i="4"/>
  <c r="A67" i="4"/>
  <c r="A39" i="4"/>
  <c r="A11" i="4"/>
  <c r="A75" i="4"/>
  <c r="A19" i="4"/>
  <c r="A47" i="4"/>
  <c r="A83" i="4"/>
  <c r="A55" i="4"/>
  <c r="A27" i="4"/>
  <c r="A68" i="4"/>
  <c r="A12" i="4"/>
  <c r="A40" i="4"/>
  <c r="A48" i="4"/>
  <c r="A20" i="4"/>
  <c r="A76" i="4"/>
  <c r="A84" i="4"/>
  <c r="A56" i="4"/>
  <c r="A28" i="4"/>
  <c r="A13" i="4"/>
  <c r="A69" i="4"/>
  <c r="A41" i="4"/>
  <c r="A77" i="4"/>
  <c r="A49" i="4"/>
  <c r="A21" i="4"/>
  <c r="A29" i="4"/>
  <c r="A85" i="4"/>
  <c r="A57" i="4"/>
  <c r="A68" i="1"/>
  <c r="A61" i="1"/>
  <c r="A77" i="1"/>
  <c r="A78" i="1"/>
  <c r="A76" i="1"/>
  <c r="A69" i="1"/>
  <c r="A63" i="1"/>
  <c r="A71" i="1"/>
  <c r="A79" i="1"/>
  <c r="A80" i="1"/>
  <c r="A81" i="1"/>
  <c r="A60" i="1"/>
  <c r="A58" i="1"/>
  <c r="A74" i="1"/>
  <c r="A82" i="1"/>
  <c r="A59" i="1"/>
  <c r="A67" i="1"/>
  <c r="A75" i="1"/>
  <c r="A83" i="1"/>
  <c r="A84" i="1"/>
  <c r="A85" i="1"/>
  <c r="A2" i="1"/>
  <c r="A30" i="1"/>
  <c r="A12" i="1"/>
  <c r="A40" i="1"/>
  <c r="A5" i="1"/>
  <c r="A33" i="1"/>
  <c r="A29" i="1"/>
  <c r="A57" i="1"/>
  <c r="A28" i="1"/>
  <c r="A56" i="1"/>
  <c r="A21" i="1"/>
  <c r="A49" i="1"/>
  <c r="A22" i="1"/>
  <c r="A50" i="1"/>
  <c r="A20" i="1"/>
  <c r="A48" i="1"/>
  <c r="A13" i="1"/>
  <c r="A41" i="1"/>
  <c r="A15" i="1"/>
  <c r="A43" i="1"/>
  <c r="A24" i="1"/>
  <c r="A52" i="1"/>
  <c r="A4" i="1"/>
  <c r="A32" i="1"/>
  <c r="A7" i="1"/>
  <c r="A35" i="1"/>
  <c r="A23" i="1"/>
  <c r="A51" i="1"/>
  <c r="A25" i="1"/>
  <c r="A53" i="1"/>
  <c r="A18" i="1"/>
  <c r="A46" i="1"/>
  <c r="A26" i="1"/>
  <c r="A54" i="1"/>
  <c r="A3" i="1"/>
  <c r="A31" i="1"/>
  <c r="A11" i="1"/>
  <c r="A39" i="1"/>
  <c r="A19" i="1"/>
  <c r="A47" i="1"/>
  <c r="A27" i="1"/>
  <c r="A55" i="1"/>
  <c r="Q10" i="2"/>
  <c r="Q18" i="2"/>
  <c r="Q11" i="2"/>
  <c r="Q15" i="2"/>
  <c r="Q9" i="2"/>
  <c r="Q17" i="2"/>
  <c r="Q7" i="2"/>
  <c r="A66" i="5" l="1"/>
  <c r="A10" i="5"/>
  <c r="A38" i="5"/>
  <c r="A37" i="5"/>
  <c r="A65" i="5"/>
  <c r="A9" i="5"/>
  <c r="A34" i="5"/>
  <c r="A62" i="5"/>
  <c r="A6" i="5"/>
  <c r="A73" i="5"/>
  <c r="A45" i="5"/>
  <c r="A17" i="5"/>
  <c r="A72" i="5"/>
  <c r="A16" i="5"/>
  <c r="A44" i="5"/>
  <c r="A8" i="5"/>
  <c r="A36" i="5"/>
  <c r="A64" i="5"/>
  <c r="A14" i="5"/>
  <c r="A70" i="5"/>
  <c r="A42" i="5"/>
  <c r="A45" i="4"/>
  <c r="A73" i="4"/>
  <c r="A17" i="4"/>
  <c r="A10" i="4"/>
  <c r="A38" i="4"/>
  <c r="A66" i="4"/>
  <c r="A44" i="4"/>
  <c r="A16" i="4"/>
  <c r="A72" i="4"/>
  <c r="A62" i="4"/>
  <c r="A34" i="4"/>
  <c r="A6" i="4"/>
  <c r="A8" i="4"/>
  <c r="A64" i="4"/>
  <c r="A36" i="4"/>
  <c r="A37" i="4"/>
  <c r="A9" i="4"/>
  <c r="A65" i="4"/>
  <c r="A70" i="4"/>
  <c r="A42" i="4"/>
  <c r="A14" i="4"/>
  <c r="A70" i="1"/>
  <c r="A66" i="1"/>
  <c r="A73" i="1"/>
  <c r="A65" i="1"/>
  <c r="A62" i="1"/>
  <c r="A72" i="1"/>
  <c r="A64" i="1"/>
  <c r="A10" i="1"/>
  <c r="A38" i="1"/>
  <c r="A14" i="1"/>
  <c r="A42" i="1"/>
  <c r="A17" i="1"/>
  <c r="A45" i="1"/>
  <c r="A9" i="1"/>
  <c r="A37" i="1"/>
  <c r="A6" i="1"/>
  <c r="A34" i="1"/>
  <c r="A16" i="1"/>
  <c r="A44" i="1"/>
  <c r="A8" i="1"/>
  <c r="A36" i="1"/>
</calcChain>
</file>

<file path=xl/sharedStrings.xml><?xml version="1.0" encoding="utf-8"?>
<sst xmlns="http://schemas.openxmlformats.org/spreadsheetml/2006/main" count="2572" uniqueCount="53">
  <si>
    <t>symbol</t>
  </si>
  <si>
    <t>exchange</t>
  </si>
  <si>
    <t>txn_type</t>
  </si>
  <si>
    <t>qty</t>
  </si>
  <si>
    <t>order_type</t>
  </si>
  <si>
    <t>price</t>
  </si>
  <si>
    <t>trigger_price</t>
  </si>
  <si>
    <t>product</t>
  </si>
  <si>
    <t>validity</t>
  </si>
  <si>
    <t>variety</t>
  </si>
  <si>
    <t>disclosed_qty</t>
  </si>
  <si>
    <t>tag</t>
  </si>
  <si>
    <t>gtt</t>
  </si>
  <si>
    <t>gtt_type</t>
  </si>
  <si>
    <t>limit_price</t>
  </si>
  <si>
    <t>trigger_price_1</t>
  </si>
  <si>
    <t>limit_price_1</t>
  </si>
  <si>
    <t>trigger_price_2</t>
  </si>
  <si>
    <t>limit_price_2</t>
  </si>
  <si>
    <t>BUY</t>
  </si>
  <si>
    <t>DAY</t>
  </si>
  <si>
    <t>regular</t>
  </si>
  <si>
    <t>YES</t>
  </si>
  <si>
    <t>OCO</t>
  </si>
  <si>
    <t>LIMIT</t>
  </si>
  <si>
    <t xml:space="preserve"> </t>
  </si>
  <si>
    <t>BFO</t>
  </si>
  <si>
    <t>NRML</t>
  </si>
  <si>
    <t>SINGLE</t>
  </si>
  <si>
    <t>SELL</t>
  </si>
  <si>
    <t>SENSEX25D1184500CE</t>
  </si>
  <si>
    <t>SENSEX</t>
  </si>
  <si>
    <t>D</t>
  </si>
  <si>
    <t>CE</t>
  </si>
  <si>
    <t>PE</t>
  </si>
  <si>
    <t>strType</t>
  </si>
  <si>
    <t>Strike</t>
  </si>
  <si>
    <t>B1</t>
  </si>
  <si>
    <t>B2</t>
  </si>
  <si>
    <t>B3</t>
  </si>
  <si>
    <t>YEAR</t>
  </si>
  <si>
    <t>EXPIRY</t>
  </si>
  <si>
    <t>B1S2</t>
  </si>
  <si>
    <t>B2S3</t>
  </si>
  <si>
    <t>B1S1</t>
  </si>
  <si>
    <t>B2S2</t>
  </si>
  <si>
    <t>B3S3</t>
  </si>
  <si>
    <t>B1S3</t>
  </si>
  <si>
    <t>B3S2</t>
  </si>
  <si>
    <t>SL1</t>
  </si>
  <si>
    <t>link:1</t>
  </si>
  <si>
    <t>link:2</t>
  </si>
  <si>
    <t>link:3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</si>
</sst>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color rgb="FF00FF0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5" fillId="0" borderId="2" xfId="0" applyFont="1" applyBorder="1" applyAlignment="1">
      <alignment horizontal="right" wrapText="1"/>
    </xf>
    <xf numFmtId="0" fontId="6" fillId="0" borderId="2" xfId="0" applyFont="1" applyBorder="1" applyAlignment="1">
      <alignment horizontal="right" wrapText="1"/>
    </xf>
    <xf numFmtId="0" fontId="5" fillId="2" borderId="2" xfId="0" applyFont="1" applyFill="1" applyBorder="1" applyAlignment="1">
      <alignment wrapText="1"/>
    </xf>
    <xf numFmtId="0" fontId="5" fillId="2" borderId="2" xfId="0" applyFont="1" applyFill="1" applyBorder="1" applyAlignment="1">
      <alignment horizontal="right" wrapText="1"/>
    </xf>
    <xf numFmtId="0" fontId="6" fillId="2" borderId="2" xfId="0" applyFont="1" applyFill="1" applyBorder="1" applyAlignment="1">
      <alignment horizontal="right"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5" fillId="2" borderId="0" xfId="0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B949-9FEA-44D4-B937-511BEC59CE64}">
  <dimension ref="A1:S85"/>
  <sheetViews>
    <sheetView workbookViewId="0">
      <selection activeCell="A26" sqref="A26"/>
    </sheetView>
  </sheetViews>
  <sheetFormatPr defaultRowHeight="14.5" x14ac:dyDescent="0.35"/>
  <cols>
    <col min="1" max="1" width="19.453125" bestFit="1" customWidth="1"/>
    <col min="2" max="2" width="9" bestFit="1" customWidth="1"/>
    <col min="3" max="3" width="8.453125" bestFit="1" customWidth="1"/>
    <col min="4" max="4" width="3.6328125" bestFit="1" customWidth="1"/>
    <col min="5" max="5" width="10.36328125" bestFit="1" customWidth="1"/>
    <col min="6" max="6" width="5.1796875" bestFit="1" customWidth="1"/>
    <col min="7" max="7" width="11.7265625" bestFit="1" customWidth="1"/>
    <col min="8" max="8" width="7.453125" bestFit="1" customWidth="1"/>
    <col min="9" max="9" width="7.1796875" bestFit="1" customWidth="1"/>
    <col min="10" max="10" width="6.90625" bestFit="1" customWidth="1"/>
    <col min="11" max="11" width="12.6328125" bestFit="1" customWidth="1"/>
    <col min="12" max="12" width="5.54296875" bestFit="1" customWidth="1"/>
    <col min="13" max="13" width="3.81640625" bestFit="1" customWidth="1"/>
    <col min="14" max="14" width="8" bestFit="1" customWidth="1"/>
    <col min="15" max="15" width="10.08984375" bestFit="1" customWidth="1"/>
    <col min="16" max="16" width="13.7265625" bestFit="1" customWidth="1"/>
    <col min="17" max="17" width="12" bestFit="1" customWidth="1"/>
    <col min="18" max="18" width="13.7265625" bestFit="1" customWidth="1"/>
    <col min="19" max="19" width="12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tr">
        <f>SENSEX!Q3</f>
        <v>SENSEX25D1884600CE</v>
      </c>
      <c r="B2" t="s">
        <v>26</v>
      </c>
      <c r="C2" t="s">
        <v>19</v>
      </c>
      <c r="D2">
        <v>60</v>
      </c>
      <c r="E2" t="s">
        <v>24</v>
      </c>
      <c r="G2">
        <f>SENSEX!H3</f>
        <v>38</v>
      </c>
      <c r="H2" t="s">
        <v>27</v>
      </c>
      <c r="I2" t="s">
        <v>20</v>
      </c>
      <c r="J2" t="s">
        <v>21</v>
      </c>
      <c r="L2" t="s">
        <v>52</v>
      </c>
      <c r="M2" t="s">
        <v>22</v>
      </c>
      <c r="N2" t="s">
        <v>28</v>
      </c>
      <c r="O2">
        <f>G2-5</f>
        <v>33</v>
      </c>
    </row>
    <row r="3" spans="1:19" x14ac:dyDescent="0.35">
      <c r="A3" t="str">
        <f>SENSEX!Q4</f>
        <v>SENSEX25D1884700CE</v>
      </c>
      <c r="B3" t="s">
        <v>26</v>
      </c>
      <c r="C3" t="s">
        <v>19</v>
      </c>
      <c r="D3">
        <v>60</v>
      </c>
      <c r="E3" t="s">
        <v>24</v>
      </c>
      <c r="G3">
        <f>SENSEX!H4</f>
        <v>38</v>
      </c>
      <c r="H3" t="s">
        <v>27</v>
      </c>
      <c r="I3" t="s">
        <v>20</v>
      </c>
      <c r="J3" t="s">
        <v>21</v>
      </c>
      <c r="L3" t="s">
        <v>52</v>
      </c>
      <c r="M3" t="s">
        <v>22</v>
      </c>
      <c r="N3" t="s">
        <v>28</v>
      </c>
      <c r="O3">
        <f t="shared" ref="O3:O29" si="0">G3-5</f>
        <v>33</v>
      </c>
    </row>
    <row r="4" spans="1:19" x14ac:dyDescent="0.35">
      <c r="A4" t="str">
        <f>SENSEX!Q5</f>
        <v>SENSEX25D1884800CE</v>
      </c>
      <c r="B4" t="s">
        <v>26</v>
      </c>
      <c r="C4" t="s">
        <v>19</v>
      </c>
      <c r="D4">
        <v>60</v>
      </c>
      <c r="E4" t="s">
        <v>24</v>
      </c>
      <c r="G4">
        <f>SENSEX!H5</f>
        <v>38</v>
      </c>
      <c r="H4" t="s">
        <v>27</v>
      </c>
      <c r="I4" t="s">
        <v>20</v>
      </c>
      <c r="J4" t="s">
        <v>21</v>
      </c>
      <c r="L4" t="s">
        <v>52</v>
      </c>
      <c r="M4" t="s">
        <v>22</v>
      </c>
      <c r="N4" t="s">
        <v>28</v>
      </c>
      <c r="O4">
        <f t="shared" si="0"/>
        <v>33</v>
      </c>
    </row>
    <row r="5" spans="1:19" x14ac:dyDescent="0.35">
      <c r="A5" t="str">
        <f>SENSEX!Q6</f>
        <v>SENSEX25D1884900CE</v>
      </c>
      <c r="B5" t="s">
        <v>26</v>
      </c>
      <c r="C5" t="s">
        <v>19</v>
      </c>
      <c r="D5">
        <v>60</v>
      </c>
      <c r="E5" t="s">
        <v>24</v>
      </c>
      <c r="G5">
        <f>SENSEX!H6</f>
        <v>28</v>
      </c>
      <c r="H5" t="s">
        <v>27</v>
      </c>
      <c r="I5" t="s">
        <v>20</v>
      </c>
      <c r="J5" t="s">
        <v>21</v>
      </c>
      <c r="L5" t="s">
        <v>52</v>
      </c>
      <c r="M5" t="s">
        <v>22</v>
      </c>
      <c r="N5" t="s">
        <v>28</v>
      </c>
      <c r="O5">
        <f t="shared" si="0"/>
        <v>23</v>
      </c>
    </row>
    <row r="6" spans="1:19" x14ac:dyDescent="0.35">
      <c r="A6" t="str">
        <f>SENSEX!Q7</f>
        <v>SENSEX25D1885000CE</v>
      </c>
      <c r="B6" t="s">
        <v>26</v>
      </c>
      <c r="C6" t="s">
        <v>19</v>
      </c>
      <c r="D6">
        <v>60</v>
      </c>
      <c r="E6" t="s">
        <v>24</v>
      </c>
      <c r="G6">
        <f>SENSEX!H7</f>
        <v>18</v>
      </c>
      <c r="H6" t="s">
        <v>27</v>
      </c>
      <c r="I6" t="s">
        <v>20</v>
      </c>
      <c r="J6" t="s">
        <v>21</v>
      </c>
      <c r="L6" t="s">
        <v>52</v>
      </c>
      <c r="M6" t="s">
        <v>22</v>
      </c>
      <c r="N6" t="s">
        <v>28</v>
      </c>
      <c r="O6">
        <f t="shared" si="0"/>
        <v>13</v>
      </c>
    </row>
    <row r="7" spans="1:19" x14ac:dyDescent="0.35">
      <c r="A7" t="str">
        <f>SENSEX!Q8</f>
        <v>SENSEX25D1885300CE</v>
      </c>
      <c r="B7" t="s">
        <v>26</v>
      </c>
      <c r="C7" t="s">
        <v>19</v>
      </c>
      <c r="D7">
        <v>60</v>
      </c>
      <c r="E7" t="s">
        <v>24</v>
      </c>
      <c r="G7">
        <f>SENSEX!H8</f>
        <v>38</v>
      </c>
      <c r="H7" t="s">
        <v>27</v>
      </c>
      <c r="I7" t="s">
        <v>20</v>
      </c>
      <c r="J7" t="s">
        <v>21</v>
      </c>
      <c r="L7" t="s">
        <v>52</v>
      </c>
      <c r="M7" t="s">
        <v>22</v>
      </c>
      <c r="N7" t="s">
        <v>28</v>
      </c>
      <c r="O7">
        <f t="shared" si="0"/>
        <v>33</v>
      </c>
    </row>
    <row r="8" spans="1:19" x14ac:dyDescent="0.35">
      <c r="A8" t="str">
        <f>SENSEX!Q9</f>
        <v>SENSEX25D1885600CE</v>
      </c>
      <c r="B8" t="s">
        <v>26</v>
      </c>
      <c r="C8" t="s">
        <v>19</v>
      </c>
      <c r="D8">
        <v>60</v>
      </c>
      <c r="E8" t="s">
        <v>24</v>
      </c>
      <c r="G8">
        <f>SENSEX!H9</f>
        <v>18</v>
      </c>
      <c r="H8" t="s">
        <v>27</v>
      </c>
      <c r="I8" t="s">
        <v>20</v>
      </c>
      <c r="J8" t="s">
        <v>21</v>
      </c>
      <c r="L8" t="s">
        <v>52</v>
      </c>
      <c r="M8" t="s">
        <v>22</v>
      </c>
      <c r="N8" t="s">
        <v>28</v>
      </c>
      <c r="O8">
        <f t="shared" si="0"/>
        <v>13</v>
      </c>
    </row>
    <row r="9" spans="1:19" x14ac:dyDescent="0.35">
      <c r="A9" t="str">
        <f>SENSEX!Q10</f>
        <v>SENSEX25D1885800CE</v>
      </c>
      <c r="B9" t="s">
        <v>26</v>
      </c>
      <c r="C9" t="s">
        <v>19</v>
      </c>
      <c r="D9">
        <v>60</v>
      </c>
      <c r="E9" t="s">
        <v>24</v>
      </c>
      <c r="G9">
        <f>SENSEX!H10</f>
        <v>38</v>
      </c>
      <c r="H9" t="s">
        <v>27</v>
      </c>
      <c r="I9" t="s">
        <v>20</v>
      </c>
      <c r="J9" t="s">
        <v>21</v>
      </c>
      <c r="L9" t="s">
        <v>52</v>
      </c>
      <c r="M9" t="s">
        <v>22</v>
      </c>
      <c r="N9" t="s">
        <v>28</v>
      </c>
      <c r="O9">
        <f t="shared" si="0"/>
        <v>33</v>
      </c>
    </row>
    <row r="10" spans="1:19" x14ac:dyDescent="0.35">
      <c r="A10" t="str">
        <f>SENSEX!Q11</f>
        <v>SENSEX25D1885000PE</v>
      </c>
      <c r="B10" t="s">
        <v>26</v>
      </c>
      <c r="C10" t="s">
        <v>19</v>
      </c>
      <c r="D10">
        <v>60</v>
      </c>
      <c r="E10" t="s">
        <v>24</v>
      </c>
      <c r="G10">
        <f>SENSEX!H11</f>
        <v>38</v>
      </c>
      <c r="H10" t="s">
        <v>27</v>
      </c>
      <c r="I10" t="s">
        <v>20</v>
      </c>
      <c r="J10" t="s">
        <v>21</v>
      </c>
      <c r="L10" t="s">
        <v>52</v>
      </c>
      <c r="M10" t="s">
        <v>22</v>
      </c>
      <c r="N10" t="s">
        <v>28</v>
      </c>
      <c r="O10">
        <f t="shared" si="0"/>
        <v>33</v>
      </c>
    </row>
    <row r="11" spans="1:19" x14ac:dyDescent="0.35">
      <c r="A11" t="str">
        <f>SENSEX!Q12</f>
        <v>SENSEX25D1884900PE</v>
      </c>
      <c r="B11" t="s">
        <v>26</v>
      </c>
      <c r="C11" t="s">
        <v>19</v>
      </c>
      <c r="D11">
        <v>60</v>
      </c>
      <c r="E11" t="s">
        <v>24</v>
      </c>
      <c r="G11">
        <f>SENSEX!H12</f>
        <v>38</v>
      </c>
      <c r="H11" t="s">
        <v>27</v>
      </c>
      <c r="I11" t="s">
        <v>20</v>
      </c>
      <c r="J11" t="s">
        <v>21</v>
      </c>
      <c r="L11" t="s">
        <v>52</v>
      </c>
      <c r="M11" t="s">
        <v>22</v>
      </c>
      <c r="N11" t="s">
        <v>28</v>
      </c>
      <c r="O11">
        <f t="shared" si="0"/>
        <v>33</v>
      </c>
    </row>
    <row r="12" spans="1:19" x14ac:dyDescent="0.35">
      <c r="A12" t="str">
        <f>SENSEX!Q13</f>
        <v>SENSEX25D1884800PE</v>
      </c>
      <c r="B12" t="s">
        <v>26</v>
      </c>
      <c r="C12" t="s">
        <v>19</v>
      </c>
      <c r="D12">
        <v>60</v>
      </c>
      <c r="E12" t="s">
        <v>24</v>
      </c>
      <c r="G12">
        <f>SENSEX!H13</f>
        <v>38</v>
      </c>
      <c r="H12" t="s">
        <v>27</v>
      </c>
      <c r="I12" t="s">
        <v>20</v>
      </c>
      <c r="J12" t="s">
        <v>21</v>
      </c>
      <c r="L12" t="s">
        <v>52</v>
      </c>
      <c r="M12" t="s">
        <v>22</v>
      </c>
      <c r="N12" t="s">
        <v>28</v>
      </c>
      <c r="O12">
        <f t="shared" si="0"/>
        <v>33</v>
      </c>
    </row>
    <row r="13" spans="1:19" x14ac:dyDescent="0.35">
      <c r="A13" t="str">
        <f>SENSEX!Q14</f>
        <v>SENSEX25D1884700PE</v>
      </c>
      <c r="B13" t="s">
        <v>26</v>
      </c>
      <c r="C13" t="s">
        <v>19</v>
      </c>
      <c r="D13">
        <v>60</v>
      </c>
      <c r="E13" t="s">
        <v>24</v>
      </c>
      <c r="G13">
        <f>SENSEX!H14</f>
        <v>28</v>
      </c>
      <c r="H13" t="s">
        <v>27</v>
      </c>
      <c r="I13" t="s">
        <v>20</v>
      </c>
      <c r="J13" t="s">
        <v>21</v>
      </c>
      <c r="L13" t="s">
        <v>52</v>
      </c>
      <c r="M13" t="s">
        <v>22</v>
      </c>
      <c r="N13" t="s">
        <v>28</v>
      </c>
      <c r="O13">
        <f t="shared" si="0"/>
        <v>23</v>
      </c>
    </row>
    <row r="14" spans="1:19" x14ac:dyDescent="0.35">
      <c r="A14" t="str">
        <f>SENSEX!Q15</f>
        <v>SENSEX25D1884600PE</v>
      </c>
      <c r="B14" t="s">
        <v>26</v>
      </c>
      <c r="C14" t="s">
        <v>19</v>
      </c>
      <c r="D14">
        <v>60</v>
      </c>
      <c r="E14" t="s">
        <v>24</v>
      </c>
      <c r="G14">
        <f>SENSEX!H15</f>
        <v>18</v>
      </c>
      <c r="H14" t="s">
        <v>27</v>
      </c>
      <c r="I14" t="s">
        <v>20</v>
      </c>
      <c r="J14" t="s">
        <v>21</v>
      </c>
      <c r="L14" t="s">
        <v>52</v>
      </c>
      <c r="M14" t="s">
        <v>22</v>
      </c>
      <c r="N14" t="s">
        <v>28</v>
      </c>
      <c r="O14">
        <f t="shared" si="0"/>
        <v>13</v>
      </c>
    </row>
    <row r="15" spans="1:19" x14ac:dyDescent="0.35">
      <c r="A15" t="str">
        <f>SENSEX!Q16</f>
        <v>SENSEX25D1884300PE</v>
      </c>
      <c r="B15" t="s">
        <v>26</v>
      </c>
      <c r="C15" t="s">
        <v>19</v>
      </c>
      <c r="D15">
        <v>60</v>
      </c>
      <c r="E15" t="s">
        <v>24</v>
      </c>
      <c r="G15">
        <f>SENSEX!H16</f>
        <v>38</v>
      </c>
      <c r="H15" t="s">
        <v>27</v>
      </c>
      <c r="I15" t="s">
        <v>20</v>
      </c>
      <c r="J15" t="s">
        <v>21</v>
      </c>
      <c r="L15" t="s">
        <v>52</v>
      </c>
      <c r="M15" t="s">
        <v>22</v>
      </c>
      <c r="N15" t="s">
        <v>28</v>
      </c>
      <c r="O15">
        <f t="shared" si="0"/>
        <v>33</v>
      </c>
    </row>
    <row r="16" spans="1:19" x14ac:dyDescent="0.35">
      <c r="A16" t="str">
        <f>SENSEX!Q17</f>
        <v>SENSEX25D1884000PE</v>
      </c>
      <c r="B16" t="s">
        <v>26</v>
      </c>
      <c r="C16" t="s">
        <v>19</v>
      </c>
      <c r="D16">
        <v>60</v>
      </c>
      <c r="E16" t="s">
        <v>24</v>
      </c>
      <c r="G16">
        <f>SENSEX!H17</f>
        <v>18</v>
      </c>
      <c r="H16" t="s">
        <v>27</v>
      </c>
      <c r="I16" t="s">
        <v>20</v>
      </c>
      <c r="J16" t="s">
        <v>21</v>
      </c>
      <c r="L16" t="s">
        <v>52</v>
      </c>
      <c r="M16" t="s">
        <v>22</v>
      </c>
      <c r="N16" t="s">
        <v>28</v>
      </c>
      <c r="O16">
        <f t="shared" si="0"/>
        <v>13</v>
      </c>
    </row>
    <row r="17" spans="1:19" x14ac:dyDescent="0.35">
      <c r="A17" t="str">
        <f>SENSEX!Q18</f>
        <v>SENSEX25D1883800PE</v>
      </c>
      <c r="B17" t="s">
        <v>26</v>
      </c>
      <c r="C17" t="s">
        <v>19</v>
      </c>
      <c r="D17">
        <v>60</v>
      </c>
      <c r="E17" t="s">
        <v>24</v>
      </c>
      <c r="G17">
        <f>SENSEX!H18</f>
        <v>38</v>
      </c>
      <c r="H17" t="s">
        <v>27</v>
      </c>
      <c r="I17" t="s">
        <v>20</v>
      </c>
      <c r="J17" t="s">
        <v>21</v>
      </c>
      <c r="L17" t="s">
        <v>52</v>
      </c>
      <c r="M17" t="s">
        <v>22</v>
      </c>
      <c r="N17" t="s">
        <v>28</v>
      </c>
      <c r="O17">
        <f t="shared" si="0"/>
        <v>33</v>
      </c>
    </row>
    <row r="18" spans="1:19" x14ac:dyDescent="0.35">
      <c r="A18" t="str">
        <f>SENSEX!Q19</f>
        <v>SENSEX25D1883800CE</v>
      </c>
      <c r="B18" t="s">
        <v>26</v>
      </c>
      <c r="C18" t="s">
        <v>19</v>
      </c>
      <c r="D18">
        <v>60</v>
      </c>
      <c r="E18" t="s">
        <v>24</v>
      </c>
      <c r="G18">
        <f>SENSEX!H19</f>
        <v>38</v>
      </c>
      <c r="H18" t="s">
        <v>27</v>
      </c>
      <c r="I18" t="s">
        <v>20</v>
      </c>
      <c r="J18" t="s">
        <v>21</v>
      </c>
      <c r="L18" t="s">
        <v>52</v>
      </c>
      <c r="M18" t="s">
        <v>22</v>
      </c>
      <c r="N18" t="s">
        <v>28</v>
      </c>
      <c r="O18">
        <f t="shared" si="0"/>
        <v>33</v>
      </c>
    </row>
    <row r="19" spans="1:19" x14ac:dyDescent="0.35">
      <c r="A19" t="str">
        <f>SENSEX!Q20</f>
        <v>SENSEX25D1883900CE</v>
      </c>
      <c r="B19" t="s">
        <v>26</v>
      </c>
      <c r="C19" t="s">
        <v>19</v>
      </c>
      <c r="D19">
        <v>60</v>
      </c>
      <c r="E19" t="s">
        <v>24</v>
      </c>
      <c r="G19">
        <f>SENSEX!H20</f>
        <v>28</v>
      </c>
      <c r="H19" t="s">
        <v>27</v>
      </c>
      <c r="I19" t="s">
        <v>20</v>
      </c>
      <c r="J19" t="s">
        <v>21</v>
      </c>
      <c r="L19" t="s">
        <v>52</v>
      </c>
      <c r="M19" t="s">
        <v>22</v>
      </c>
      <c r="N19" t="s">
        <v>28</v>
      </c>
      <c r="O19">
        <f t="shared" si="0"/>
        <v>23</v>
      </c>
    </row>
    <row r="20" spans="1:19" x14ac:dyDescent="0.35">
      <c r="A20" t="str">
        <f>SENSEX!Q21</f>
        <v>SENSEX25D1884000CE</v>
      </c>
      <c r="B20" t="s">
        <v>26</v>
      </c>
      <c r="C20" t="s">
        <v>19</v>
      </c>
      <c r="D20">
        <v>60</v>
      </c>
      <c r="E20" t="s">
        <v>24</v>
      </c>
      <c r="G20">
        <f>SENSEX!H21</f>
        <v>18</v>
      </c>
      <c r="H20" t="s">
        <v>27</v>
      </c>
      <c r="I20" t="s">
        <v>20</v>
      </c>
      <c r="J20" t="s">
        <v>21</v>
      </c>
      <c r="L20" t="s">
        <v>52</v>
      </c>
      <c r="M20" t="s">
        <v>22</v>
      </c>
      <c r="N20" t="s">
        <v>28</v>
      </c>
      <c r="O20">
        <f t="shared" si="0"/>
        <v>13</v>
      </c>
    </row>
    <row r="21" spans="1:19" x14ac:dyDescent="0.35">
      <c r="A21" t="str">
        <f>SENSEX!Q22</f>
        <v>SENSEX25D1884300CE</v>
      </c>
      <c r="B21" t="s">
        <v>26</v>
      </c>
      <c r="C21" t="s">
        <v>19</v>
      </c>
      <c r="D21">
        <v>60</v>
      </c>
      <c r="E21" t="s">
        <v>24</v>
      </c>
      <c r="G21">
        <f>SENSEX!H22</f>
        <v>38</v>
      </c>
      <c r="H21" t="s">
        <v>27</v>
      </c>
      <c r="I21" t="s">
        <v>20</v>
      </c>
      <c r="J21" t="s">
        <v>21</v>
      </c>
      <c r="L21" t="s">
        <v>52</v>
      </c>
      <c r="M21" t="s">
        <v>22</v>
      </c>
      <c r="N21" t="s">
        <v>28</v>
      </c>
      <c r="O21">
        <f t="shared" si="0"/>
        <v>33</v>
      </c>
    </row>
    <row r="22" spans="1:19" x14ac:dyDescent="0.35">
      <c r="A22" t="str">
        <f>SENSEX!Q23</f>
        <v>SENSEX25D1884600CE</v>
      </c>
      <c r="B22" t="s">
        <v>26</v>
      </c>
      <c r="C22" t="s">
        <v>19</v>
      </c>
      <c r="D22">
        <v>60</v>
      </c>
      <c r="E22" t="s">
        <v>24</v>
      </c>
      <c r="G22">
        <f>SENSEX!H23</f>
        <v>18</v>
      </c>
      <c r="H22" t="s">
        <v>27</v>
      </c>
      <c r="I22" t="s">
        <v>20</v>
      </c>
      <c r="J22" t="s">
        <v>21</v>
      </c>
      <c r="L22" t="s">
        <v>52</v>
      </c>
      <c r="M22" t="s">
        <v>22</v>
      </c>
      <c r="N22" t="s">
        <v>28</v>
      </c>
      <c r="O22">
        <f t="shared" si="0"/>
        <v>13</v>
      </c>
    </row>
    <row r="23" spans="1:19" x14ac:dyDescent="0.35">
      <c r="A23" t="str">
        <f>SENSEX!Q24</f>
        <v>SENSEX25D1884800CE</v>
      </c>
      <c r="B23" t="s">
        <v>26</v>
      </c>
      <c r="C23" t="s">
        <v>19</v>
      </c>
      <c r="D23">
        <v>60</v>
      </c>
      <c r="E23" t="s">
        <v>24</v>
      </c>
      <c r="G23">
        <f>SENSEX!H24</f>
        <v>38</v>
      </c>
      <c r="H23" t="s">
        <v>27</v>
      </c>
      <c r="I23" t="s">
        <v>20</v>
      </c>
      <c r="J23" t="s">
        <v>21</v>
      </c>
      <c r="L23" t="s">
        <v>52</v>
      </c>
      <c r="M23" t="s">
        <v>22</v>
      </c>
      <c r="N23" t="s">
        <v>28</v>
      </c>
      <c r="O23">
        <f t="shared" si="0"/>
        <v>33</v>
      </c>
    </row>
    <row r="24" spans="1:19" x14ac:dyDescent="0.35">
      <c r="A24" t="str">
        <f>SENSEX!Q25</f>
        <v>SENSEX25D1885800PE</v>
      </c>
      <c r="B24" t="s">
        <v>26</v>
      </c>
      <c r="C24" t="s">
        <v>19</v>
      </c>
      <c r="D24">
        <v>60</v>
      </c>
      <c r="E24" t="s">
        <v>24</v>
      </c>
      <c r="G24">
        <f>SENSEX!H25</f>
        <v>38</v>
      </c>
      <c r="H24" t="s">
        <v>27</v>
      </c>
      <c r="I24" t="s">
        <v>20</v>
      </c>
      <c r="J24" t="s">
        <v>21</v>
      </c>
      <c r="L24" t="s">
        <v>52</v>
      </c>
      <c r="M24" t="s">
        <v>22</v>
      </c>
      <c r="N24" t="s">
        <v>28</v>
      </c>
      <c r="O24">
        <f t="shared" si="0"/>
        <v>33</v>
      </c>
    </row>
    <row r="25" spans="1:19" x14ac:dyDescent="0.35">
      <c r="A25" t="str">
        <f>SENSEX!Q26</f>
        <v>SENSEX25D1885700PE</v>
      </c>
      <c r="B25" t="s">
        <v>26</v>
      </c>
      <c r="C25" t="s">
        <v>19</v>
      </c>
      <c r="D25">
        <v>60</v>
      </c>
      <c r="E25" t="s">
        <v>24</v>
      </c>
      <c r="G25">
        <f>SENSEX!H26</f>
        <v>28</v>
      </c>
      <c r="H25" t="s">
        <v>27</v>
      </c>
      <c r="I25" t="s">
        <v>20</v>
      </c>
      <c r="J25" t="s">
        <v>21</v>
      </c>
      <c r="L25" t="s">
        <v>52</v>
      </c>
      <c r="M25" t="s">
        <v>22</v>
      </c>
      <c r="N25" t="s">
        <v>28</v>
      </c>
      <c r="O25">
        <f t="shared" si="0"/>
        <v>23</v>
      </c>
    </row>
    <row r="26" spans="1:19" x14ac:dyDescent="0.35">
      <c r="A26" t="str">
        <f>SENSEX!Q27</f>
        <v>SENSEX25D1885600PE</v>
      </c>
      <c r="B26" t="s">
        <v>26</v>
      </c>
      <c r="C26" t="s">
        <v>19</v>
      </c>
      <c r="D26">
        <v>60</v>
      </c>
      <c r="E26" t="s">
        <v>24</v>
      </c>
      <c r="G26">
        <f>SENSEX!H27</f>
        <v>18</v>
      </c>
      <c r="H26" t="s">
        <v>27</v>
      </c>
      <c r="I26" t="s">
        <v>20</v>
      </c>
      <c r="J26" t="s">
        <v>21</v>
      </c>
      <c r="L26" t="s">
        <v>52</v>
      </c>
      <c r="M26" t="s">
        <v>22</v>
      </c>
      <c r="N26" t="s">
        <v>28</v>
      </c>
      <c r="O26">
        <f t="shared" si="0"/>
        <v>13</v>
      </c>
    </row>
    <row r="27" spans="1:19" x14ac:dyDescent="0.35">
      <c r="A27" t="str">
        <f>SENSEX!Q28</f>
        <v>SENSEX25D1885300PE</v>
      </c>
      <c r="B27" t="s">
        <v>26</v>
      </c>
      <c r="C27" t="s">
        <v>19</v>
      </c>
      <c r="D27">
        <v>60</v>
      </c>
      <c r="E27" t="s">
        <v>24</v>
      </c>
      <c r="G27">
        <f>SENSEX!H28</f>
        <v>38</v>
      </c>
      <c r="H27" t="s">
        <v>27</v>
      </c>
      <c r="I27" t="s">
        <v>20</v>
      </c>
      <c r="J27" t="s">
        <v>21</v>
      </c>
      <c r="L27" t="s">
        <v>52</v>
      </c>
      <c r="M27" t="s">
        <v>22</v>
      </c>
      <c r="N27" t="s">
        <v>28</v>
      </c>
      <c r="O27">
        <f t="shared" si="0"/>
        <v>33</v>
      </c>
    </row>
    <row r="28" spans="1:19" x14ac:dyDescent="0.35">
      <c r="A28" t="str">
        <f>SENSEX!Q29</f>
        <v>SENSEX25D1885000PE</v>
      </c>
      <c r="B28" t="s">
        <v>26</v>
      </c>
      <c r="C28" t="s">
        <v>19</v>
      </c>
      <c r="D28">
        <v>60</v>
      </c>
      <c r="E28" t="s">
        <v>24</v>
      </c>
      <c r="G28">
        <f>SENSEX!H29</f>
        <v>18</v>
      </c>
      <c r="H28" t="s">
        <v>27</v>
      </c>
      <c r="I28" t="s">
        <v>20</v>
      </c>
      <c r="J28" t="s">
        <v>21</v>
      </c>
      <c r="L28" t="s">
        <v>52</v>
      </c>
      <c r="M28" t="s">
        <v>22</v>
      </c>
      <c r="N28" t="s">
        <v>28</v>
      </c>
      <c r="O28">
        <f t="shared" si="0"/>
        <v>13</v>
      </c>
    </row>
    <row r="29" spans="1:19" x14ac:dyDescent="0.35">
      <c r="A29" t="str">
        <f>SENSEX!Q30</f>
        <v>SENSEX25D1884800PE</v>
      </c>
      <c r="B29" t="s">
        <v>26</v>
      </c>
      <c r="C29" t="s">
        <v>19</v>
      </c>
      <c r="D29">
        <v>60</v>
      </c>
      <c r="E29" t="s">
        <v>24</v>
      </c>
      <c r="G29">
        <f>SENSEX!H30</f>
        <v>38</v>
      </c>
      <c r="H29" t="s">
        <v>27</v>
      </c>
      <c r="I29" t="s">
        <v>20</v>
      </c>
      <c r="J29" t="s">
        <v>21</v>
      </c>
      <c r="L29" t="s">
        <v>52</v>
      </c>
      <c r="M29" t="s">
        <v>22</v>
      </c>
      <c r="N29" t="s">
        <v>28</v>
      </c>
      <c r="O29">
        <f t="shared" si="0"/>
        <v>33</v>
      </c>
    </row>
    <row r="30" spans="1:19" x14ac:dyDescent="0.35">
      <c r="A30" t="str">
        <f>SENSEX!Q3</f>
        <v>SENSEX25D1884600CE</v>
      </c>
      <c r="B30" t="s">
        <v>26</v>
      </c>
      <c r="C30" t="s">
        <v>29</v>
      </c>
      <c r="D30">
        <v>60</v>
      </c>
      <c r="E30" t="s">
        <v>24</v>
      </c>
      <c r="F30" t="s">
        <v>25</v>
      </c>
      <c r="H30" t="s">
        <v>27</v>
      </c>
      <c r="I30" t="s">
        <v>20</v>
      </c>
      <c r="J30" t="s">
        <v>21</v>
      </c>
      <c r="L30" t="s">
        <v>52</v>
      </c>
      <c r="M30" t="s">
        <v>22</v>
      </c>
      <c r="N30" t="s">
        <v>23</v>
      </c>
      <c r="P30">
        <v>3</v>
      </c>
      <c r="Q30">
        <f>P30-2</f>
        <v>1</v>
      </c>
      <c r="R30">
        <f>SENSEX!I3</f>
        <v>68</v>
      </c>
      <c r="S30">
        <f>R30-3</f>
        <v>65</v>
      </c>
    </row>
    <row r="31" spans="1:19" x14ac:dyDescent="0.35">
      <c r="A31" t="str">
        <f>SENSEX!Q4</f>
        <v>SENSEX25D1884700CE</v>
      </c>
      <c r="B31" t="s">
        <v>26</v>
      </c>
      <c r="C31" t="s">
        <v>29</v>
      </c>
      <c r="D31">
        <v>40</v>
      </c>
      <c r="E31" t="s">
        <v>24</v>
      </c>
      <c r="F31" t="s">
        <v>25</v>
      </c>
      <c r="H31" t="s">
        <v>27</v>
      </c>
      <c r="I31" t="s">
        <v>20</v>
      </c>
      <c r="J31" t="s">
        <v>21</v>
      </c>
      <c r="L31" t="s">
        <v>52</v>
      </c>
      <c r="M31" t="s">
        <v>22</v>
      </c>
      <c r="N31" t="s">
        <v>23</v>
      </c>
      <c r="P31">
        <v>3</v>
      </c>
      <c r="Q31">
        <f t="shared" ref="Q31:Q57" si="1">P31-2</f>
        <v>1</v>
      </c>
      <c r="R31">
        <f>SENSEX!I4</f>
        <v>68</v>
      </c>
      <c r="S31">
        <f t="shared" ref="S31:S57" si="2">R31-3</f>
        <v>65</v>
      </c>
    </row>
    <row r="32" spans="1:19" x14ac:dyDescent="0.35">
      <c r="A32" t="str">
        <f>SENSEX!Q5</f>
        <v>SENSEX25D1884800CE</v>
      </c>
      <c r="B32" t="s">
        <v>26</v>
      </c>
      <c r="C32" t="s">
        <v>29</v>
      </c>
      <c r="D32">
        <v>40</v>
      </c>
      <c r="E32" t="s">
        <v>24</v>
      </c>
      <c r="F32" t="s">
        <v>25</v>
      </c>
      <c r="H32" t="s">
        <v>27</v>
      </c>
      <c r="I32" t="s">
        <v>20</v>
      </c>
      <c r="J32" t="s">
        <v>21</v>
      </c>
      <c r="L32" t="s">
        <v>52</v>
      </c>
      <c r="M32" t="s">
        <v>22</v>
      </c>
      <c r="N32" t="s">
        <v>23</v>
      </c>
      <c r="P32">
        <v>3</v>
      </c>
      <c r="Q32">
        <f t="shared" si="1"/>
        <v>1</v>
      </c>
      <c r="R32">
        <f>SENSEX!I5</f>
        <v>68</v>
      </c>
      <c r="S32">
        <f t="shared" si="2"/>
        <v>65</v>
      </c>
    </row>
    <row r="33" spans="1:19" x14ac:dyDescent="0.35">
      <c r="A33" t="str">
        <f>SENSEX!Q6</f>
        <v>SENSEX25D1884900CE</v>
      </c>
      <c r="B33" t="s">
        <v>26</v>
      </c>
      <c r="C33" t="s">
        <v>29</v>
      </c>
      <c r="D33">
        <v>40</v>
      </c>
      <c r="E33" t="s">
        <v>24</v>
      </c>
      <c r="F33" t="s">
        <v>25</v>
      </c>
      <c r="H33" t="s">
        <v>27</v>
      </c>
      <c r="I33" t="s">
        <v>20</v>
      </c>
      <c r="J33" t="s">
        <v>21</v>
      </c>
      <c r="L33" t="s">
        <v>52</v>
      </c>
      <c r="M33" t="s">
        <v>22</v>
      </c>
      <c r="N33" t="s">
        <v>23</v>
      </c>
      <c r="P33">
        <v>3</v>
      </c>
      <c r="Q33">
        <f t="shared" si="1"/>
        <v>1</v>
      </c>
      <c r="R33">
        <f>SENSEX!I6</f>
        <v>56</v>
      </c>
      <c r="S33">
        <f t="shared" si="2"/>
        <v>53</v>
      </c>
    </row>
    <row r="34" spans="1:19" x14ac:dyDescent="0.35">
      <c r="A34" t="str">
        <f>SENSEX!Q7</f>
        <v>SENSEX25D1885000CE</v>
      </c>
      <c r="B34" t="s">
        <v>26</v>
      </c>
      <c r="C34" t="s">
        <v>29</v>
      </c>
      <c r="D34">
        <v>40</v>
      </c>
      <c r="E34" t="s">
        <v>24</v>
      </c>
      <c r="F34" t="s">
        <v>25</v>
      </c>
      <c r="H34" t="s">
        <v>27</v>
      </c>
      <c r="I34" t="s">
        <v>20</v>
      </c>
      <c r="J34" t="s">
        <v>21</v>
      </c>
      <c r="L34" t="s">
        <v>52</v>
      </c>
      <c r="M34" t="s">
        <v>22</v>
      </c>
      <c r="N34" t="s">
        <v>23</v>
      </c>
      <c r="P34">
        <v>3</v>
      </c>
      <c r="Q34">
        <f t="shared" si="1"/>
        <v>1</v>
      </c>
      <c r="R34">
        <f>SENSEX!I7</f>
        <v>38</v>
      </c>
      <c r="S34">
        <f t="shared" si="2"/>
        <v>35</v>
      </c>
    </row>
    <row r="35" spans="1:19" x14ac:dyDescent="0.35">
      <c r="A35" t="str">
        <f>SENSEX!Q8</f>
        <v>SENSEX25D1885300CE</v>
      </c>
      <c r="B35" t="s">
        <v>26</v>
      </c>
      <c r="C35" t="s">
        <v>29</v>
      </c>
      <c r="D35">
        <v>40</v>
      </c>
      <c r="E35" t="s">
        <v>24</v>
      </c>
      <c r="F35" t="s">
        <v>25</v>
      </c>
      <c r="H35" t="s">
        <v>27</v>
      </c>
      <c r="I35" t="s">
        <v>20</v>
      </c>
      <c r="J35" t="s">
        <v>21</v>
      </c>
      <c r="L35" t="s">
        <v>52</v>
      </c>
      <c r="M35" t="s">
        <v>22</v>
      </c>
      <c r="N35" t="s">
        <v>23</v>
      </c>
      <c r="P35">
        <v>3</v>
      </c>
      <c r="Q35">
        <f t="shared" si="1"/>
        <v>1</v>
      </c>
      <c r="R35">
        <f>SENSEX!I8</f>
        <v>68</v>
      </c>
      <c r="S35">
        <f t="shared" si="2"/>
        <v>65</v>
      </c>
    </row>
    <row r="36" spans="1:19" x14ac:dyDescent="0.35">
      <c r="A36" t="str">
        <f>SENSEX!Q9</f>
        <v>SENSEX25D1885600CE</v>
      </c>
      <c r="B36" t="s">
        <v>26</v>
      </c>
      <c r="C36" t="s">
        <v>29</v>
      </c>
      <c r="D36">
        <v>40</v>
      </c>
      <c r="E36" t="s">
        <v>24</v>
      </c>
      <c r="F36" t="s">
        <v>25</v>
      </c>
      <c r="H36" t="s">
        <v>27</v>
      </c>
      <c r="I36" t="s">
        <v>20</v>
      </c>
      <c r="J36" t="s">
        <v>21</v>
      </c>
      <c r="L36" t="s">
        <v>52</v>
      </c>
      <c r="M36" t="s">
        <v>22</v>
      </c>
      <c r="N36" t="s">
        <v>23</v>
      </c>
      <c r="P36">
        <v>3</v>
      </c>
      <c r="Q36">
        <f t="shared" si="1"/>
        <v>1</v>
      </c>
      <c r="R36">
        <f>SENSEX!I9</f>
        <v>38</v>
      </c>
      <c r="S36">
        <f t="shared" si="2"/>
        <v>35</v>
      </c>
    </row>
    <row r="37" spans="1:19" x14ac:dyDescent="0.35">
      <c r="A37" t="str">
        <f>SENSEX!Q10</f>
        <v>SENSEX25D1885800CE</v>
      </c>
      <c r="B37" t="s">
        <v>26</v>
      </c>
      <c r="C37" t="s">
        <v>29</v>
      </c>
      <c r="D37">
        <v>40</v>
      </c>
      <c r="E37" t="s">
        <v>24</v>
      </c>
      <c r="F37" t="s">
        <v>25</v>
      </c>
      <c r="H37" t="s">
        <v>27</v>
      </c>
      <c r="I37" t="s">
        <v>20</v>
      </c>
      <c r="J37" t="s">
        <v>21</v>
      </c>
      <c r="L37" t="s">
        <v>52</v>
      </c>
      <c r="M37" t="s">
        <v>22</v>
      </c>
      <c r="N37" t="s">
        <v>23</v>
      </c>
      <c r="P37">
        <v>3</v>
      </c>
      <c r="Q37">
        <f t="shared" si="1"/>
        <v>1</v>
      </c>
      <c r="R37">
        <f>SENSEX!I10</f>
        <v>68</v>
      </c>
      <c r="S37">
        <f t="shared" si="2"/>
        <v>65</v>
      </c>
    </row>
    <row r="38" spans="1:19" x14ac:dyDescent="0.35">
      <c r="A38" t="str">
        <f>SENSEX!Q11</f>
        <v>SENSEX25D1885000PE</v>
      </c>
      <c r="B38" t="s">
        <v>26</v>
      </c>
      <c r="C38" t="s">
        <v>29</v>
      </c>
      <c r="D38">
        <v>40</v>
      </c>
      <c r="E38" t="s">
        <v>24</v>
      </c>
      <c r="F38" t="s">
        <v>25</v>
      </c>
      <c r="H38" t="s">
        <v>27</v>
      </c>
      <c r="I38" t="s">
        <v>20</v>
      </c>
      <c r="J38" t="s">
        <v>21</v>
      </c>
      <c r="L38" t="s">
        <v>52</v>
      </c>
      <c r="M38" t="s">
        <v>22</v>
      </c>
      <c r="N38" t="s">
        <v>23</v>
      </c>
      <c r="P38">
        <v>3</v>
      </c>
      <c r="Q38">
        <f t="shared" si="1"/>
        <v>1</v>
      </c>
      <c r="R38">
        <f>SENSEX!I11</f>
        <v>68</v>
      </c>
      <c r="S38">
        <f t="shared" si="2"/>
        <v>65</v>
      </c>
    </row>
    <row r="39" spans="1:19" x14ac:dyDescent="0.35">
      <c r="A39" t="str">
        <f>SENSEX!Q12</f>
        <v>SENSEX25D1884900PE</v>
      </c>
      <c r="B39" t="s">
        <v>26</v>
      </c>
      <c r="C39" t="s">
        <v>29</v>
      </c>
      <c r="D39">
        <v>40</v>
      </c>
      <c r="E39" t="s">
        <v>24</v>
      </c>
      <c r="F39" t="s">
        <v>25</v>
      </c>
      <c r="H39" t="s">
        <v>27</v>
      </c>
      <c r="I39" t="s">
        <v>20</v>
      </c>
      <c r="J39" t="s">
        <v>21</v>
      </c>
      <c r="L39" t="s">
        <v>52</v>
      </c>
      <c r="M39" t="s">
        <v>22</v>
      </c>
      <c r="N39" t="s">
        <v>23</v>
      </c>
      <c r="P39">
        <v>3</v>
      </c>
      <c r="Q39">
        <f t="shared" si="1"/>
        <v>1</v>
      </c>
      <c r="R39">
        <f>SENSEX!I12</f>
        <v>68</v>
      </c>
      <c r="S39">
        <f t="shared" si="2"/>
        <v>65</v>
      </c>
    </row>
    <row r="40" spans="1:19" x14ac:dyDescent="0.35">
      <c r="A40" t="str">
        <f>SENSEX!Q13</f>
        <v>SENSEX25D1884800PE</v>
      </c>
      <c r="B40" t="s">
        <v>26</v>
      </c>
      <c r="C40" t="s">
        <v>29</v>
      </c>
      <c r="D40">
        <v>40</v>
      </c>
      <c r="E40" t="s">
        <v>24</v>
      </c>
      <c r="F40" t="s">
        <v>25</v>
      </c>
      <c r="H40" t="s">
        <v>27</v>
      </c>
      <c r="I40" t="s">
        <v>20</v>
      </c>
      <c r="J40" t="s">
        <v>21</v>
      </c>
      <c r="L40" t="s">
        <v>52</v>
      </c>
      <c r="M40" t="s">
        <v>22</v>
      </c>
      <c r="N40" t="s">
        <v>23</v>
      </c>
      <c r="P40">
        <v>3</v>
      </c>
      <c r="Q40">
        <f t="shared" si="1"/>
        <v>1</v>
      </c>
      <c r="R40">
        <f>SENSEX!I13</f>
        <v>68</v>
      </c>
      <c r="S40">
        <f t="shared" si="2"/>
        <v>65</v>
      </c>
    </row>
    <row r="41" spans="1:19" x14ac:dyDescent="0.35">
      <c r="A41" t="str">
        <f>SENSEX!Q14</f>
        <v>SENSEX25D1884700PE</v>
      </c>
      <c r="B41" t="s">
        <v>26</v>
      </c>
      <c r="C41" t="s">
        <v>29</v>
      </c>
      <c r="D41">
        <v>40</v>
      </c>
      <c r="E41" t="s">
        <v>24</v>
      </c>
      <c r="F41" t="s">
        <v>25</v>
      </c>
      <c r="H41" t="s">
        <v>27</v>
      </c>
      <c r="I41" t="s">
        <v>20</v>
      </c>
      <c r="J41" t="s">
        <v>21</v>
      </c>
      <c r="L41" t="s">
        <v>52</v>
      </c>
      <c r="M41" t="s">
        <v>22</v>
      </c>
      <c r="N41" t="s">
        <v>23</v>
      </c>
      <c r="P41">
        <v>3</v>
      </c>
      <c r="Q41">
        <f t="shared" si="1"/>
        <v>1</v>
      </c>
      <c r="R41">
        <f>SENSEX!I14</f>
        <v>56</v>
      </c>
      <c r="S41">
        <f t="shared" si="2"/>
        <v>53</v>
      </c>
    </row>
    <row r="42" spans="1:19" x14ac:dyDescent="0.35">
      <c r="A42" t="str">
        <f>SENSEX!Q15</f>
        <v>SENSEX25D1884600PE</v>
      </c>
      <c r="B42" t="s">
        <v>26</v>
      </c>
      <c r="C42" t="s">
        <v>29</v>
      </c>
      <c r="D42">
        <v>40</v>
      </c>
      <c r="E42" t="s">
        <v>24</v>
      </c>
      <c r="F42" t="s">
        <v>25</v>
      </c>
      <c r="H42" t="s">
        <v>27</v>
      </c>
      <c r="I42" t="s">
        <v>20</v>
      </c>
      <c r="J42" t="s">
        <v>21</v>
      </c>
      <c r="L42" t="s">
        <v>52</v>
      </c>
      <c r="M42" t="s">
        <v>22</v>
      </c>
      <c r="N42" t="s">
        <v>23</v>
      </c>
      <c r="P42">
        <v>3</v>
      </c>
      <c r="Q42">
        <f t="shared" si="1"/>
        <v>1</v>
      </c>
      <c r="R42">
        <f>SENSEX!I15</f>
        <v>38</v>
      </c>
      <c r="S42">
        <f t="shared" si="2"/>
        <v>35</v>
      </c>
    </row>
    <row r="43" spans="1:19" x14ac:dyDescent="0.35">
      <c r="A43" t="str">
        <f>SENSEX!Q16</f>
        <v>SENSEX25D1884300PE</v>
      </c>
      <c r="B43" t="s">
        <v>26</v>
      </c>
      <c r="C43" t="s">
        <v>29</v>
      </c>
      <c r="D43">
        <v>40</v>
      </c>
      <c r="E43" t="s">
        <v>24</v>
      </c>
      <c r="F43" t="s">
        <v>25</v>
      </c>
      <c r="H43" t="s">
        <v>27</v>
      </c>
      <c r="I43" t="s">
        <v>20</v>
      </c>
      <c r="J43" t="s">
        <v>21</v>
      </c>
      <c r="L43" t="s">
        <v>52</v>
      </c>
      <c r="M43" t="s">
        <v>22</v>
      </c>
      <c r="N43" t="s">
        <v>23</v>
      </c>
      <c r="P43">
        <v>3</v>
      </c>
      <c r="Q43">
        <f t="shared" si="1"/>
        <v>1</v>
      </c>
      <c r="R43">
        <f>SENSEX!I16</f>
        <v>68</v>
      </c>
      <c r="S43">
        <f t="shared" si="2"/>
        <v>65</v>
      </c>
    </row>
    <row r="44" spans="1:19" x14ac:dyDescent="0.35">
      <c r="A44" t="str">
        <f>SENSEX!Q17</f>
        <v>SENSEX25D1884000PE</v>
      </c>
      <c r="B44" t="s">
        <v>26</v>
      </c>
      <c r="C44" t="s">
        <v>29</v>
      </c>
      <c r="D44">
        <v>40</v>
      </c>
      <c r="E44" t="s">
        <v>24</v>
      </c>
      <c r="F44" t="s">
        <v>25</v>
      </c>
      <c r="H44" t="s">
        <v>27</v>
      </c>
      <c r="I44" t="s">
        <v>20</v>
      </c>
      <c r="J44" t="s">
        <v>21</v>
      </c>
      <c r="L44" t="s">
        <v>52</v>
      </c>
      <c r="M44" t="s">
        <v>22</v>
      </c>
      <c r="N44" t="s">
        <v>23</v>
      </c>
      <c r="P44">
        <v>3</v>
      </c>
      <c r="Q44">
        <f t="shared" si="1"/>
        <v>1</v>
      </c>
      <c r="R44">
        <f>SENSEX!I17</f>
        <v>38</v>
      </c>
      <c r="S44">
        <f t="shared" si="2"/>
        <v>35</v>
      </c>
    </row>
    <row r="45" spans="1:19" x14ac:dyDescent="0.35">
      <c r="A45" t="str">
        <f>SENSEX!Q18</f>
        <v>SENSEX25D1883800PE</v>
      </c>
      <c r="B45" t="s">
        <v>26</v>
      </c>
      <c r="C45" t="s">
        <v>29</v>
      </c>
      <c r="D45">
        <v>40</v>
      </c>
      <c r="E45" t="s">
        <v>24</v>
      </c>
      <c r="F45" t="s">
        <v>25</v>
      </c>
      <c r="H45" t="s">
        <v>27</v>
      </c>
      <c r="I45" t="s">
        <v>20</v>
      </c>
      <c r="J45" t="s">
        <v>21</v>
      </c>
      <c r="L45" t="s">
        <v>52</v>
      </c>
      <c r="M45" t="s">
        <v>22</v>
      </c>
      <c r="N45" t="s">
        <v>23</v>
      </c>
      <c r="P45">
        <v>3</v>
      </c>
      <c r="Q45">
        <f t="shared" si="1"/>
        <v>1</v>
      </c>
      <c r="R45">
        <f>SENSEX!I18</f>
        <v>68</v>
      </c>
      <c r="S45">
        <f t="shared" si="2"/>
        <v>65</v>
      </c>
    </row>
    <row r="46" spans="1:19" x14ac:dyDescent="0.35">
      <c r="A46" t="str">
        <f>SENSEX!Q19</f>
        <v>SENSEX25D1883800CE</v>
      </c>
      <c r="B46" t="s">
        <v>26</v>
      </c>
      <c r="C46" t="s">
        <v>29</v>
      </c>
      <c r="D46">
        <v>40</v>
      </c>
      <c r="E46" t="s">
        <v>24</v>
      </c>
      <c r="F46" t="s">
        <v>25</v>
      </c>
      <c r="H46" t="s">
        <v>27</v>
      </c>
      <c r="I46" t="s">
        <v>20</v>
      </c>
      <c r="J46" t="s">
        <v>21</v>
      </c>
      <c r="L46" t="s">
        <v>52</v>
      </c>
      <c r="M46" t="s">
        <v>22</v>
      </c>
      <c r="N46" t="s">
        <v>23</v>
      </c>
      <c r="P46">
        <v>3</v>
      </c>
      <c r="Q46">
        <f t="shared" si="1"/>
        <v>1</v>
      </c>
      <c r="R46">
        <f>SENSEX!I19</f>
        <v>68</v>
      </c>
      <c r="S46">
        <f t="shared" si="2"/>
        <v>65</v>
      </c>
    </row>
    <row r="47" spans="1:19" x14ac:dyDescent="0.35">
      <c r="A47" t="str">
        <f>SENSEX!Q20</f>
        <v>SENSEX25D1883900CE</v>
      </c>
      <c r="B47" t="s">
        <v>26</v>
      </c>
      <c r="C47" t="s">
        <v>29</v>
      </c>
      <c r="D47">
        <v>40</v>
      </c>
      <c r="E47" t="s">
        <v>24</v>
      </c>
      <c r="F47" t="s">
        <v>25</v>
      </c>
      <c r="H47" t="s">
        <v>27</v>
      </c>
      <c r="I47" t="s">
        <v>20</v>
      </c>
      <c r="J47" t="s">
        <v>21</v>
      </c>
      <c r="L47" t="s">
        <v>52</v>
      </c>
      <c r="M47" t="s">
        <v>22</v>
      </c>
      <c r="N47" t="s">
        <v>23</v>
      </c>
      <c r="P47">
        <v>3</v>
      </c>
      <c r="Q47">
        <f t="shared" si="1"/>
        <v>1</v>
      </c>
      <c r="R47">
        <f>SENSEX!I20</f>
        <v>56</v>
      </c>
      <c r="S47">
        <f t="shared" si="2"/>
        <v>53</v>
      </c>
    </row>
    <row r="48" spans="1:19" x14ac:dyDescent="0.35">
      <c r="A48" t="str">
        <f>SENSEX!Q21</f>
        <v>SENSEX25D1884000CE</v>
      </c>
      <c r="B48" t="s">
        <v>26</v>
      </c>
      <c r="C48" t="s">
        <v>29</v>
      </c>
      <c r="D48">
        <v>40</v>
      </c>
      <c r="E48" t="s">
        <v>24</v>
      </c>
      <c r="F48" t="s">
        <v>25</v>
      </c>
      <c r="H48" t="s">
        <v>27</v>
      </c>
      <c r="I48" t="s">
        <v>20</v>
      </c>
      <c r="J48" t="s">
        <v>21</v>
      </c>
      <c r="L48" t="s">
        <v>52</v>
      </c>
      <c r="M48" t="s">
        <v>22</v>
      </c>
      <c r="N48" t="s">
        <v>23</v>
      </c>
      <c r="P48">
        <v>3</v>
      </c>
      <c r="Q48">
        <f t="shared" si="1"/>
        <v>1</v>
      </c>
      <c r="R48">
        <f>SENSEX!I21</f>
        <v>38</v>
      </c>
      <c r="S48">
        <f t="shared" si="2"/>
        <v>35</v>
      </c>
    </row>
    <row r="49" spans="1:19" x14ac:dyDescent="0.35">
      <c r="A49" t="str">
        <f>SENSEX!Q22</f>
        <v>SENSEX25D1884300CE</v>
      </c>
      <c r="B49" t="s">
        <v>26</v>
      </c>
      <c r="C49" t="s">
        <v>29</v>
      </c>
      <c r="D49">
        <v>40</v>
      </c>
      <c r="E49" t="s">
        <v>24</v>
      </c>
      <c r="F49" t="s">
        <v>25</v>
      </c>
      <c r="H49" t="s">
        <v>27</v>
      </c>
      <c r="I49" t="s">
        <v>20</v>
      </c>
      <c r="J49" t="s">
        <v>21</v>
      </c>
      <c r="L49" t="s">
        <v>52</v>
      </c>
      <c r="M49" t="s">
        <v>22</v>
      </c>
      <c r="N49" t="s">
        <v>23</v>
      </c>
      <c r="P49">
        <v>3</v>
      </c>
      <c r="Q49">
        <f t="shared" si="1"/>
        <v>1</v>
      </c>
      <c r="R49">
        <f>SENSEX!I22</f>
        <v>68</v>
      </c>
      <c r="S49">
        <f t="shared" si="2"/>
        <v>65</v>
      </c>
    </row>
    <row r="50" spans="1:19" x14ac:dyDescent="0.35">
      <c r="A50" t="str">
        <f>SENSEX!Q23</f>
        <v>SENSEX25D1884600CE</v>
      </c>
      <c r="B50" t="s">
        <v>26</v>
      </c>
      <c r="C50" t="s">
        <v>29</v>
      </c>
      <c r="D50">
        <v>40</v>
      </c>
      <c r="E50" t="s">
        <v>24</v>
      </c>
      <c r="F50" t="s">
        <v>25</v>
      </c>
      <c r="H50" t="s">
        <v>27</v>
      </c>
      <c r="I50" t="s">
        <v>20</v>
      </c>
      <c r="J50" t="s">
        <v>21</v>
      </c>
      <c r="L50" t="s">
        <v>52</v>
      </c>
      <c r="M50" t="s">
        <v>22</v>
      </c>
      <c r="N50" t="s">
        <v>23</v>
      </c>
      <c r="P50">
        <v>3</v>
      </c>
      <c r="Q50">
        <f t="shared" si="1"/>
        <v>1</v>
      </c>
      <c r="R50">
        <f>SENSEX!I23</f>
        <v>38</v>
      </c>
      <c r="S50">
        <f t="shared" si="2"/>
        <v>35</v>
      </c>
    </row>
    <row r="51" spans="1:19" x14ac:dyDescent="0.35">
      <c r="A51" t="str">
        <f>SENSEX!Q24</f>
        <v>SENSEX25D1884800CE</v>
      </c>
      <c r="B51" t="s">
        <v>26</v>
      </c>
      <c r="C51" t="s">
        <v>29</v>
      </c>
      <c r="D51">
        <v>40</v>
      </c>
      <c r="E51" t="s">
        <v>24</v>
      </c>
      <c r="F51" t="s">
        <v>25</v>
      </c>
      <c r="H51" t="s">
        <v>27</v>
      </c>
      <c r="I51" t="s">
        <v>20</v>
      </c>
      <c r="J51" t="s">
        <v>21</v>
      </c>
      <c r="L51" t="s">
        <v>52</v>
      </c>
      <c r="M51" t="s">
        <v>22</v>
      </c>
      <c r="N51" t="s">
        <v>23</v>
      </c>
      <c r="P51">
        <v>3</v>
      </c>
      <c r="Q51">
        <f t="shared" si="1"/>
        <v>1</v>
      </c>
      <c r="R51">
        <f>SENSEX!I24</f>
        <v>68</v>
      </c>
      <c r="S51">
        <f t="shared" si="2"/>
        <v>65</v>
      </c>
    </row>
    <row r="52" spans="1:19" x14ac:dyDescent="0.35">
      <c r="A52" t="str">
        <f>SENSEX!Q25</f>
        <v>SENSEX25D1885800PE</v>
      </c>
      <c r="B52" t="s">
        <v>26</v>
      </c>
      <c r="C52" t="s">
        <v>29</v>
      </c>
      <c r="D52">
        <v>40</v>
      </c>
      <c r="E52" t="s">
        <v>24</v>
      </c>
      <c r="F52" t="s">
        <v>25</v>
      </c>
      <c r="H52" t="s">
        <v>27</v>
      </c>
      <c r="I52" t="s">
        <v>20</v>
      </c>
      <c r="J52" t="s">
        <v>21</v>
      </c>
      <c r="L52" t="s">
        <v>52</v>
      </c>
      <c r="M52" t="s">
        <v>22</v>
      </c>
      <c r="N52" t="s">
        <v>23</v>
      </c>
      <c r="P52">
        <v>3</v>
      </c>
      <c r="Q52">
        <f t="shared" si="1"/>
        <v>1</v>
      </c>
      <c r="R52">
        <f>SENSEX!I25</f>
        <v>68</v>
      </c>
      <c r="S52">
        <f t="shared" si="2"/>
        <v>65</v>
      </c>
    </row>
    <row r="53" spans="1:19" x14ac:dyDescent="0.35">
      <c r="A53" t="str">
        <f>SENSEX!Q26</f>
        <v>SENSEX25D1885700PE</v>
      </c>
      <c r="B53" t="s">
        <v>26</v>
      </c>
      <c r="C53" t="s">
        <v>29</v>
      </c>
      <c r="D53">
        <v>40</v>
      </c>
      <c r="E53" t="s">
        <v>24</v>
      </c>
      <c r="F53" t="s">
        <v>25</v>
      </c>
      <c r="H53" t="s">
        <v>27</v>
      </c>
      <c r="I53" t="s">
        <v>20</v>
      </c>
      <c r="J53" t="s">
        <v>21</v>
      </c>
      <c r="L53" t="s">
        <v>52</v>
      </c>
      <c r="M53" t="s">
        <v>22</v>
      </c>
      <c r="N53" t="s">
        <v>23</v>
      </c>
      <c r="P53">
        <v>3</v>
      </c>
      <c r="Q53">
        <f t="shared" si="1"/>
        <v>1</v>
      </c>
      <c r="R53">
        <f>SENSEX!I26</f>
        <v>56</v>
      </c>
      <c r="S53">
        <f t="shared" si="2"/>
        <v>53</v>
      </c>
    </row>
    <row r="54" spans="1:19" x14ac:dyDescent="0.35">
      <c r="A54" t="str">
        <f>SENSEX!Q27</f>
        <v>SENSEX25D1885600PE</v>
      </c>
      <c r="B54" t="s">
        <v>26</v>
      </c>
      <c r="C54" t="s">
        <v>29</v>
      </c>
      <c r="D54">
        <v>40</v>
      </c>
      <c r="E54" t="s">
        <v>24</v>
      </c>
      <c r="F54" t="s">
        <v>25</v>
      </c>
      <c r="H54" t="s">
        <v>27</v>
      </c>
      <c r="I54" t="s">
        <v>20</v>
      </c>
      <c r="J54" t="s">
        <v>21</v>
      </c>
      <c r="L54" t="s">
        <v>52</v>
      </c>
      <c r="M54" t="s">
        <v>22</v>
      </c>
      <c r="N54" t="s">
        <v>23</v>
      </c>
      <c r="P54">
        <v>3</v>
      </c>
      <c r="Q54">
        <f t="shared" si="1"/>
        <v>1</v>
      </c>
      <c r="R54">
        <f>SENSEX!I27</f>
        <v>38</v>
      </c>
      <c r="S54">
        <f t="shared" si="2"/>
        <v>35</v>
      </c>
    </row>
    <row r="55" spans="1:19" x14ac:dyDescent="0.35">
      <c r="A55" t="str">
        <f>SENSEX!Q28</f>
        <v>SENSEX25D1885300PE</v>
      </c>
      <c r="B55" t="s">
        <v>26</v>
      </c>
      <c r="C55" t="s">
        <v>29</v>
      </c>
      <c r="D55">
        <v>40</v>
      </c>
      <c r="E55" t="s">
        <v>24</v>
      </c>
      <c r="F55" t="s">
        <v>25</v>
      </c>
      <c r="H55" t="s">
        <v>27</v>
      </c>
      <c r="I55" t="s">
        <v>20</v>
      </c>
      <c r="J55" t="s">
        <v>21</v>
      </c>
      <c r="L55" t="s">
        <v>52</v>
      </c>
      <c r="M55" t="s">
        <v>22</v>
      </c>
      <c r="N55" t="s">
        <v>23</v>
      </c>
      <c r="P55">
        <v>3</v>
      </c>
      <c r="Q55">
        <f t="shared" si="1"/>
        <v>1</v>
      </c>
      <c r="R55">
        <f>SENSEX!I28</f>
        <v>68</v>
      </c>
      <c r="S55">
        <f t="shared" si="2"/>
        <v>65</v>
      </c>
    </row>
    <row r="56" spans="1:19" x14ac:dyDescent="0.35">
      <c r="A56" t="str">
        <f>SENSEX!Q29</f>
        <v>SENSEX25D1885000PE</v>
      </c>
      <c r="B56" t="s">
        <v>26</v>
      </c>
      <c r="C56" t="s">
        <v>29</v>
      </c>
      <c r="D56">
        <v>40</v>
      </c>
      <c r="E56" t="s">
        <v>24</v>
      </c>
      <c r="F56" t="s">
        <v>25</v>
      </c>
      <c r="H56" t="s">
        <v>27</v>
      </c>
      <c r="I56" t="s">
        <v>20</v>
      </c>
      <c r="J56" t="s">
        <v>21</v>
      </c>
      <c r="L56" t="s">
        <v>52</v>
      </c>
      <c r="M56" t="s">
        <v>22</v>
      </c>
      <c r="N56" t="s">
        <v>23</v>
      </c>
      <c r="P56">
        <v>3</v>
      </c>
      <c r="Q56">
        <f t="shared" si="1"/>
        <v>1</v>
      </c>
      <c r="R56">
        <f>SENSEX!I29</f>
        <v>38</v>
      </c>
      <c r="S56">
        <f t="shared" si="2"/>
        <v>35</v>
      </c>
    </row>
    <row r="57" spans="1:19" x14ac:dyDescent="0.35">
      <c r="A57" t="str">
        <f>SENSEX!Q30</f>
        <v>SENSEX25D1884800PE</v>
      </c>
      <c r="B57" t="s">
        <v>26</v>
      </c>
      <c r="C57" t="s">
        <v>29</v>
      </c>
      <c r="D57">
        <v>40</v>
      </c>
      <c r="E57" t="s">
        <v>24</v>
      </c>
      <c r="F57" t="s">
        <v>25</v>
      </c>
      <c r="H57" t="s">
        <v>27</v>
      </c>
      <c r="I57" t="s">
        <v>20</v>
      </c>
      <c r="J57" t="s">
        <v>21</v>
      </c>
      <c r="L57" t="s">
        <v>52</v>
      </c>
      <c r="M57" t="s">
        <v>22</v>
      </c>
      <c r="N57" t="s">
        <v>23</v>
      </c>
      <c r="P57">
        <v>3</v>
      </c>
      <c r="Q57">
        <f t="shared" si="1"/>
        <v>1</v>
      </c>
      <c r="R57">
        <f>SENSEX!I30</f>
        <v>68</v>
      </c>
      <c r="S57">
        <f t="shared" si="2"/>
        <v>65</v>
      </c>
    </row>
    <row r="58" spans="1:19" x14ac:dyDescent="0.35">
      <c r="A58" t="str">
        <f>SENSEX!Q3</f>
        <v>SENSEX25D1884600CE</v>
      </c>
      <c r="B58" t="s">
        <v>26</v>
      </c>
      <c r="C58" t="s">
        <v>29</v>
      </c>
      <c r="D58">
        <v>20</v>
      </c>
      <c r="E58" t="s">
        <v>24</v>
      </c>
      <c r="F58" t="s">
        <v>25</v>
      </c>
      <c r="H58" t="s">
        <v>27</v>
      </c>
      <c r="I58" t="s">
        <v>20</v>
      </c>
      <c r="J58" t="s">
        <v>21</v>
      </c>
      <c r="L58" t="s">
        <v>52</v>
      </c>
      <c r="M58" t="s">
        <v>22</v>
      </c>
      <c r="N58" t="s">
        <v>23</v>
      </c>
      <c r="P58">
        <v>3</v>
      </c>
      <c r="Q58">
        <f>P58-2</f>
        <v>1</v>
      </c>
      <c r="R58">
        <f>SENSEX!V3</f>
        <v>88</v>
      </c>
      <c r="S58">
        <f>R58-3</f>
        <v>85</v>
      </c>
    </row>
    <row r="59" spans="1:19" x14ac:dyDescent="0.35">
      <c r="A59" t="str">
        <f>SENSEX!Q4</f>
        <v>SENSEX25D1884700CE</v>
      </c>
      <c r="B59" t="s">
        <v>26</v>
      </c>
      <c r="C59" t="s">
        <v>29</v>
      </c>
      <c r="D59">
        <v>20</v>
      </c>
      <c r="E59" t="s">
        <v>24</v>
      </c>
      <c r="F59" t="s">
        <v>25</v>
      </c>
      <c r="H59" t="s">
        <v>27</v>
      </c>
      <c r="I59" t="s">
        <v>20</v>
      </c>
      <c r="J59" t="s">
        <v>21</v>
      </c>
      <c r="L59" t="s">
        <v>52</v>
      </c>
      <c r="M59" t="s">
        <v>22</v>
      </c>
      <c r="N59" t="s">
        <v>23</v>
      </c>
      <c r="P59">
        <v>3</v>
      </c>
      <c r="Q59">
        <f t="shared" ref="Q59:Q85" si="3">P59-2</f>
        <v>1</v>
      </c>
      <c r="R59">
        <f>SENSEX!V4</f>
        <v>88</v>
      </c>
      <c r="S59">
        <f t="shared" ref="S59:S85" si="4">R59-3</f>
        <v>85</v>
      </c>
    </row>
    <row r="60" spans="1:19" x14ac:dyDescent="0.35">
      <c r="A60" t="str">
        <f>SENSEX!Q5</f>
        <v>SENSEX25D1884800CE</v>
      </c>
      <c r="B60" t="s">
        <v>26</v>
      </c>
      <c r="C60" t="s">
        <v>29</v>
      </c>
      <c r="D60">
        <v>20</v>
      </c>
      <c r="E60" t="s">
        <v>24</v>
      </c>
      <c r="F60" t="s">
        <v>25</v>
      </c>
      <c r="H60" t="s">
        <v>27</v>
      </c>
      <c r="I60" t="s">
        <v>20</v>
      </c>
      <c r="J60" t="s">
        <v>21</v>
      </c>
      <c r="L60" t="s">
        <v>52</v>
      </c>
      <c r="M60" t="s">
        <v>22</v>
      </c>
      <c r="N60" t="s">
        <v>23</v>
      </c>
      <c r="P60">
        <v>3</v>
      </c>
      <c r="Q60">
        <f t="shared" si="3"/>
        <v>1</v>
      </c>
      <c r="R60">
        <f>SENSEX!V5</f>
        <v>88</v>
      </c>
      <c r="S60">
        <f t="shared" si="4"/>
        <v>85</v>
      </c>
    </row>
    <row r="61" spans="1:19" x14ac:dyDescent="0.35">
      <c r="A61" t="str">
        <f>SENSEX!Q6</f>
        <v>SENSEX25D1884900CE</v>
      </c>
      <c r="B61" t="s">
        <v>26</v>
      </c>
      <c r="C61" t="s">
        <v>29</v>
      </c>
      <c r="D61">
        <v>20</v>
      </c>
      <c r="E61" t="s">
        <v>24</v>
      </c>
      <c r="F61" t="s">
        <v>25</v>
      </c>
      <c r="H61" t="s">
        <v>27</v>
      </c>
      <c r="I61" t="s">
        <v>20</v>
      </c>
      <c r="J61" t="s">
        <v>21</v>
      </c>
      <c r="L61" t="s">
        <v>52</v>
      </c>
      <c r="M61" t="s">
        <v>22</v>
      </c>
      <c r="N61" t="s">
        <v>23</v>
      </c>
      <c r="P61">
        <v>3</v>
      </c>
      <c r="Q61">
        <f t="shared" si="3"/>
        <v>1</v>
      </c>
      <c r="R61">
        <f>SENSEX!V6</f>
        <v>68</v>
      </c>
      <c r="S61">
        <f t="shared" si="4"/>
        <v>65</v>
      </c>
    </row>
    <row r="62" spans="1:19" x14ac:dyDescent="0.35">
      <c r="A62" t="str">
        <f>SENSEX!Q7</f>
        <v>SENSEX25D1885000CE</v>
      </c>
      <c r="B62" t="s">
        <v>26</v>
      </c>
      <c r="C62" t="s">
        <v>29</v>
      </c>
      <c r="D62">
        <v>20</v>
      </c>
      <c r="E62" t="s">
        <v>24</v>
      </c>
      <c r="F62" t="s">
        <v>25</v>
      </c>
      <c r="H62" t="s">
        <v>27</v>
      </c>
      <c r="I62" t="s">
        <v>20</v>
      </c>
      <c r="J62" t="s">
        <v>21</v>
      </c>
      <c r="L62" t="s">
        <v>52</v>
      </c>
      <c r="M62" t="s">
        <v>22</v>
      </c>
      <c r="N62" t="s">
        <v>23</v>
      </c>
      <c r="P62">
        <v>3</v>
      </c>
      <c r="Q62">
        <f t="shared" si="3"/>
        <v>1</v>
      </c>
      <c r="R62">
        <f>SENSEX!V7</f>
        <v>68</v>
      </c>
      <c r="S62">
        <f t="shared" si="4"/>
        <v>65</v>
      </c>
    </row>
    <row r="63" spans="1:19" x14ac:dyDescent="0.35">
      <c r="A63" t="str">
        <f>SENSEX!Q8</f>
        <v>SENSEX25D1885300CE</v>
      </c>
      <c r="B63" t="s">
        <v>26</v>
      </c>
      <c r="C63" t="s">
        <v>29</v>
      </c>
      <c r="D63">
        <v>20</v>
      </c>
      <c r="E63" t="s">
        <v>24</v>
      </c>
      <c r="F63" t="s">
        <v>25</v>
      </c>
      <c r="H63" t="s">
        <v>27</v>
      </c>
      <c r="I63" t="s">
        <v>20</v>
      </c>
      <c r="J63" t="s">
        <v>21</v>
      </c>
      <c r="L63" t="s">
        <v>52</v>
      </c>
      <c r="M63" t="s">
        <v>22</v>
      </c>
      <c r="N63" t="s">
        <v>23</v>
      </c>
      <c r="P63">
        <v>3</v>
      </c>
      <c r="Q63">
        <f t="shared" si="3"/>
        <v>1</v>
      </c>
      <c r="R63">
        <f>SENSEX!V8</f>
        <v>68</v>
      </c>
      <c r="S63">
        <f t="shared" si="4"/>
        <v>65</v>
      </c>
    </row>
    <row r="64" spans="1:19" x14ac:dyDescent="0.35">
      <c r="A64" t="str">
        <f>SENSEX!Q9</f>
        <v>SENSEX25D1885600CE</v>
      </c>
      <c r="B64" t="s">
        <v>26</v>
      </c>
      <c r="C64" t="s">
        <v>29</v>
      </c>
      <c r="D64">
        <v>20</v>
      </c>
      <c r="E64" t="s">
        <v>24</v>
      </c>
      <c r="F64" t="s">
        <v>25</v>
      </c>
      <c r="H64" t="s">
        <v>27</v>
      </c>
      <c r="I64" t="s">
        <v>20</v>
      </c>
      <c r="J64" t="s">
        <v>21</v>
      </c>
      <c r="L64" t="s">
        <v>52</v>
      </c>
      <c r="M64" t="s">
        <v>22</v>
      </c>
      <c r="N64" t="s">
        <v>23</v>
      </c>
      <c r="P64">
        <v>3</v>
      </c>
      <c r="Q64">
        <f t="shared" si="3"/>
        <v>1</v>
      </c>
      <c r="R64">
        <f>SENSEX!V9</f>
        <v>48</v>
      </c>
      <c r="S64">
        <f t="shared" si="4"/>
        <v>45</v>
      </c>
    </row>
    <row r="65" spans="1:19" x14ac:dyDescent="0.35">
      <c r="A65" t="str">
        <f>SENSEX!Q10</f>
        <v>SENSEX25D1885800CE</v>
      </c>
      <c r="B65" t="s">
        <v>26</v>
      </c>
      <c r="C65" t="s">
        <v>29</v>
      </c>
      <c r="D65">
        <v>20</v>
      </c>
      <c r="E65" t="s">
        <v>24</v>
      </c>
      <c r="F65" t="s">
        <v>25</v>
      </c>
      <c r="H65" t="s">
        <v>27</v>
      </c>
      <c r="I65" t="s">
        <v>20</v>
      </c>
      <c r="J65" t="s">
        <v>21</v>
      </c>
      <c r="L65" t="s">
        <v>52</v>
      </c>
      <c r="M65" t="s">
        <v>22</v>
      </c>
      <c r="N65" t="s">
        <v>23</v>
      </c>
      <c r="P65">
        <v>3</v>
      </c>
      <c r="Q65">
        <f t="shared" si="3"/>
        <v>1</v>
      </c>
      <c r="R65">
        <f>SENSEX!V10</f>
        <v>68</v>
      </c>
      <c r="S65">
        <f t="shared" si="4"/>
        <v>65</v>
      </c>
    </row>
    <row r="66" spans="1:19" x14ac:dyDescent="0.35">
      <c r="A66" t="str">
        <f>SENSEX!Q11</f>
        <v>SENSEX25D1885000PE</v>
      </c>
      <c r="B66" t="s">
        <v>26</v>
      </c>
      <c r="C66" t="s">
        <v>29</v>
      </c>
      <c r="D66">
        <v>20</v>
      </c>
      <c r="E66" t="s">
        <v>24</v>
      </c>
      <c r="F66" t="s">
        <v>25</v>
      </c>
      <c r="H66" t="s">
        <v>27</v>
      </c>
      <c r="I66" t="s">
        <v>20</v>
      </c>
      <c r="J66" t="s">
        <v>21</v>
      </c>
      <c r="L66" t="s">
        <v>52</v>
      </c>
      <c r="M66" t="s">
        <v>22</v>
      </c>
      <c r="N66" t="s">
        <v>23</v>
      </c>
      <c r="P66">
        <v>3</v>
      </c>
      <c r="Q66">
        <f t="shared" si="3"/>
        <v>1</v>
      </c>
      <c r="R66">
        <f>SENSEX!V11</f>
        <v>88</v>
      </c>
      <c r="S66">
        <f t="shared" si="4"/>
        <v>85</v>
      </c>
    </row>
    <row r="67" spans="1:19" x14ac:dyDescent="0.35">
      <c r="A67" t="str">
        <f>SENSEX!Q12</f>
        <v>SENSEX25D1884900PE</v>
      </c>
      <c r="B67" t="s">
        <v>26</v>
      </c>
      <c r="C67" t="s">
        <v>29</v>
      </c>
      <c r="D67">
        <v>20</v>
      </c>
      <c r="E67" t="s">
        <v>24</v>
      </c>
      <c r="F67" t="s">
        <v>25</v>
      </c>
      <c r="H67" t="s">
        <v>27</v>
      </c>
      <c r="I67" t="s">
        <v>20</v>
      </c>
      <c r="J67" t="s">
        <v>21</v>
      </c>
      <c r="L67" t="s">
        <v>52</v>
      </c>
      <c r="M67" t="s">
        <v>22</v>
      </c>
      <c r="N67" t="s">
        <v>23</v>
      </c>
      <c r="P67">
        <v>3</v>
      </c>
      <c r="Q67">
        <f t="shared" si="3"/>
        <v>1</v>
      </c>
      <c r="R67">
        <f>SENSEX!V12</f>
        <v>88</v>
      </c>
      <c r="S67">
        <f t="shared" si="4"/>
        <v>85</v>
      </c>
    </row>
    <row r="68" spans="1:19" x14ac:dyDescent="0.35">
      <c r="A68" t="str">
        <f>SENSEX!Q13</f>
        <v>SENSEX25D1884800PE</v>
      </c>
      <c r="B68" t="s">
        <v>26</v>
      </c>
      <c r="C68" t="s">
        <v>29</v>
      </c>
      <c r="D68">
        <v>20</v>
      </c>
      <c r="E68" t="s">
        <v>24</v>
      </c>
      <c r="F68" t="s">
        <v>25</v>
      </c>
      <c r="H68" t="s">
        <v>27</v>
      </c>
      <c r="I68" t="s">
        <v>20</v>
      </c>
      <c r="J68" t="s">
        <v>21</v>
      </c>
      <c r="L68" t="s">
        <v>52</v>
      </c>
      <c r="M68" t="s">
        <v>22</v>
      </c>
      <c r="N68" t="s">
        <v>23</v>
      </c>
      <c r="P68">
        <v>3</v>
      </c>
      <c r="Q68">
        <f t="shared" si="3"/>
        <v>1</v>
      </c>
      <c r="R68">
        <f>SENSEX!V13</f>
        <v>88</v>
      </c>
      <c r="S68">
        <f t="shared" si="4"/>
        <v>85</v>
      </c>
    </row>
    <row r="69" spans="1:19" x14ac:dyDescent="0.35">
      <c r="A69" t="str">
        <f>SENSEX!Q14</f>
        <v>SENSEX25D1884700PE</v>
      </c>
      <c r="B69" t="s">
        <v>26</v>
      </c>
      <c r="C69" t="s">
        <v>29</v>
      </c>
      <c r="D69">
        <v>20</v>
      </c>
      <c r="E69" t="s">
        <v>24</v>
      </c>
      <c r="F69" t="s">
        <v>25</v>
      </c>
      <c r="H69" t="s">
        <v>27</v>
      </c>
      <c r="I69" t="s">
        <v>20</v>
      </c>
      <c r="J69" t="s">
        <v>21</v>
      </c>
      <c r="L69" t="s">
        <v>52</v>
      </c>
      <c r="M69" t="s">
        <v>22</v>
      </c>
      <c r="N69" t="s">
        <v>23</v>
      </c>
      <c r="P69">
        <v>3</v>
      </c>
      <c r="Q69">
        <f t="shared" si="3"/>
        <v>1</v>
      </c>
      <c r="R69">
        <f>SENSEX!V14</f>
        <v>68</v>
      </c>
      <c r="S69">
        <f t="shared" si="4"/>
        <v>65</v>
      </c>
    </row>
    <row r="70" spans="1:19" x14ac:dyDescent="0.35">
      <c r="A70" t="str">
        <f>SENSEX!Q15</f>
        <v>SENSEX25D1884600PE</v>
      </c>
      <c r="B70" t="s">
        <v>26</v>
      </c>
      <c r="C70" t="s">
        <v>29</v>
      </c>
      <c r="D70">
        <v>20</v>
      </c>
      <c r="E70" t="s">
        <v>24</v>
      </c>
      <c r="F70" t="s">
        <v>25</v>
      </c>
      <c r="H70" t="s">
        <v>27</v>
      </c>
      <c r="I70" t="s">
        <v>20</v>
      </c>
      <c r="J70" t="s">
        <v>21</v>
      </c>
      <c r="L70" t="s">
        <v>52</v>
      </c>
      <c r="M70" t="s">
        <v>22</v>
      </c>
      <c r="N70" t="s">
        <v>23</v>
      </c>
      <c r="P70">
        <v>3</v>
      </c>
      <c r="Q70">
        <f t="shared" si="3"/>
        <v>1</v>
      </c>
      <c r="R70">
        <f>SENSEX!V15</f>
        <v>68</v>
      </c>
      <c r="S70">
        <f t="shared" si="4"/>
        <v>65</v>
      </c>
    </row>
    <row r="71" spans="1:19" x14ac:dyDescent="0.35">
      <c r="A71" t="str">
        <f>SENSEX!Q16</f>
        <v>SENSEX25D1884300PE</v>
      </c>
      <c r="B71" t="s">
        <v>26</v>
      </c>
      <c r="C71" t="s">
        <v>29</v>
      </c>
      <c r="D71">
        <v>20</v>
      </c>
      <c r="E71" t="s">
        <v>24</v>
      </c>
      <c r="F71" t="s">
        <v>25</v>
      </c>
      <c r="H71" t="s">
        <v>27</v>
      </c>
      <c r="I71" t="s">
        <v>20</v>
      </c>
      <c r="J71" t="s">
        <v>21</v>
      </c>
      <c r="L71" t="s">
        <v>52</v>
      </c>
      <c r="M71" t="s">
        <v>22</v>
      </c>
      <c r="N71" t="s">
        <v>23</v>
      </c>
      <c r="P71">
        <v>3</v>
      </c>
      <c r="Q71">
        <f t="shared" si="3"/>
        <v>1</v>
      </c>
      <c r="R71">
        <f>SENSEX!V16</f>
        <v>68</v>
      </c>
      <c r="S71">
        <f t="shared" si="4"/>
        <v>65</v>
      </c>
    </row>
    <row r="72" spans="1:19" x14ac:dyDescent="0.35">
      <c r="A72" t="str">
        <f>SENSEX!Q17</f>
        <v>SENSEX25D1884000PE</v>
      </c>
      <c r="B72" t="s">
        <v>26</v>
      </c>
      <c r="C72" t="s">
        <v>29</v>
      </c>
      <c r="D72">
        <v>20</v>
      </c>
      <c r="E72" t="s">
        <v>24</v>
      </c>
      <c r="F72" t="s">
        <v>25</v>
      </c>
      <c r="H72" t="s">
        <v>27</v>
      </c>
      <c r="I72" t="s">
        <v>20</v>
      </c>
      <c r="J72" t="s">
        <v>21</v>
      </c>
      <c r="L72" t="s">
        <v>52</v>
      </c>
      <c r="M72" t="s">
        <v>22</v>
      </c>
      <c r="N72" t="s">
        <v>23</v>
      </c>
      <c r="P72">
        <v>3</v>
      </c>
      <c r="Q72">
        <f t="shared" si="3"/>
        <v>1</v>
      </c>
      <c r="R72">
        <f>SENSEX!V17</f>
        <v>48</v>
      </c>
      <c r="S72">
        <f t="shared" si="4"/>
        <v>45</v>
      </c>
    </row>
    <row r="73" spans="1:19" x14ac:dyDescent="0.35">
      <c r="A73" t="str">
        <f>SENSEX!Q18</f>
        <v>SENSEX25D1883800PE</v>
      </c>
      <c r="B73" t="s">
        <v>26</v>
      </c>
      <c r="C73" t="s">
        <v>29</v>
      </c>
      <c r="D73">
        <v>20</v>
      </c>
      <c r="E73" t="s">
        <v>24</v>
      </c>
      <c r="F73" t="s">
        <v>25</v>
      </c>
      <c r="H73" t="s">
        <v>27</v>
      </c>
      <c r="I73" t="s">
        <v>20</v>
      </c>
      <c r="J73" t="s">
        <v>21</v>
      </c>
      <c r="L73" t="s">
        <v>52</v>
      </c>
      <c r="M73" t="s">
        <v>22</v>
      </c>
      <c r="N73" t="s">
        <v>23</v>
      </c>
      <c r="P73">
        <v>3</v>
      </c>
      <c r="Q73">
        <f t="shared" si="3"/>
        <v>1</v>
      </c>
      <c r="R73">
        <f>SENSEX!V18</f>
        <v>68</v>
      </c>
      <c r="S73">
        <f t="shared" si="4"/>
        <v>65</v>
      </c>
    </row>
    <row r="74" spans="1:19" x14ac:dyDescent="0.35">
      <c r="A74" t="str">
        <f>SENSEX!Q19</f>
        <v>SENSEX25D1883800CE</v>
      </c>
      <c r="B74" t="s">
        <v>26</v>
      </c>
      <c r="C74" t="s">
        <v>29</v>
      </c>
      <c r="D74">
        <v>20</v>
      </c>
      <c r="E74" t="s">
        <v>24</v>
      </c>
      <c r="F74" t="s">
        <v>25</v>
      </c>
      <c r="H74" t="s">
        <v>27</v>
      </c>
      <c r="I74" t="s">
        <v>20</v>
      </c>
      <c r="J74" t="s">
        <v>21</v>
      </c>
      <c r="L74" t="s">
        <v>52</v>
      </c>
      <c r="M74" t="s">
        <v>22</v>
      </c>
      <c r="N74" t="s">
        <v>23</v>
      </c>
      <c r="P74">
        <v>3</v>
      </c>
      <c r="Q74">
        <f t="shared" si="3"/>
        <v>1</v>
      </c>
      <c r="R74">
        <f>SENSEX!V19</f>
        <v>88</v>
      </c>
      <c r="S74">
        <f t="shared" si="4"/>
        <v>85</v>
      </c>
    </row>
    <row r="75" spans="1:19" x14ac:dyDescent="0.35">
      <c r="A75" t="str">
        <f>SENSEX!Q20</f>
        <v>SENSEX25D1883900CE</v>
      </c>
      <c r="B75" t="s">
        <v>26</v>
      </c>
      <c r="C75" t="s">
        <v>29</v>
      </c>
      <c r="D75">
        <v>20</v>
      </c>
      <c r="E75" t="s">
        <v>24</v>
      </c>
      <c r="F75" t="s">
        <v>25</v>
      </c>
      <c r="H75" t="s">
        <v>27</v>
      </c>
      <c r="I75" t="s">
        <v>20</v>
      </c>
      <c r="J75" t="s">
        <v>21</v>
      </c>
      <c r="L75" t="s">
        <v>52</v>
      </c>
      <c r="M75" t="s">
        <v>22</v>
      </c>
      <c r="N75" t="s">
        <v>23</v>
      </c>
      <c r="P75">
        <v>3</v>
      </c>
      <c r="Q75">
        <f t="shared" si="3"/>
        <v>1</v>
      </c>
      <c r="R75">
        <f>SENSEX!V20</f>
        <v>68</v>
      </c>
      <c r="S75">
        <f t="shared" si="4"/>
        <v>65</v>
      </c>
    </row>
    <row r="76" spans="1:19" x14ac:dyDescent="0.35">
      <c r="A76" t="str">
        <f>SENSEX!Q21</f>
        <v>SENSEX25D1884000CE</v>
      </c>
      <c r="B76" t="s">
        <v>26</v>
      </c>
      <c r="C76" t="s">
        <v>29</v>
      </c>
      <c r="D76">
        <v>20</v>
      </c>
      <c r="E76" t="s">
        <v>24</v>
      </c>
      <c r="F76" t="s">
        <v>25</v>
      </c>
      <c r="H76" t="s">
        <v>27</v>
      </c>
      <c r="I76" t="s">
        <v>20</v>
      </c>
      <c r="J76" t="s">
        <v>21</v>
      </c>
      <c r="L76" t="s">
        <v>52</v>
      </c>
      <c r="M76" t="s">
        <v>22</v>
      </c>
      <c r="N76" t="s">
        <v>23</v>
      </c>
      <c r="P76">
        <v>3</v>
      </c>
      <c r="Q76">
        <f t="shared" si="3"/>
        <v>1</v>
      </c>
      <c r="R76">
        <f>SENSEX!V21</f>
        <v>68</v>
      </c>
      <c r="S76">
        <f t="shared" si="4"/>
        <v>65</v>
      </c>
    </row>
    <row r="77" spans="1:19" x14ac:dyDescent="0.35">
      <c r="A77" t="str">
        <f>SENSEX!Q22</f>
        <v>SENSEX25D1884300CE</v>
      </c>
      <c r="B77" t="s">
        <v>26</v>
      </c>
      <c r="C77" t="s">
        <v>29</v>
      </c>
      <c r="D77">
        <v>20</v>
      </c>
      <c r="E77" t="s">
        <v>24</v>
      </c>
      <c r="F77" t="s">
        <v>25</v>
      </c>
      <c r="H77" t="s">
        <v>27</v>
      </c>
      <c r="I77" t="s">
        <v>20</v>
      </c>
      <c r="J77" t="s">
        <v>21</v>
      </c>
      <c r="L77" t="s">
        <v>52</v>
      </c>
      <c r="M77" t="s">
        <v>22</v>
      </c>
      <c r="N77" t="s">
        <v>23</v>
      </c>
      <c r="P77">
        <v>3</v>
      </c>
      <c r="Q77">
        <f t="shared" si="3"/>
        <v>1</v>
      </c>
      <c r="R77">
        <f>SENSEX!V22</f>
        <v>68</v>
      </c>
      <c r="S77">
        <f t="shared" si="4"/>
        <v>65</v>
      </c>
    </row>
    <row r="78" spans="1:19" x14ac:dyDescent="0.35">
      <c r="A78" t="str">
        <f>SENSEX!Q23</f>
        <v>SENSEX25D1884600CE</v>
      </c>
      <c r="B78" t="s">
        <v>26</v>
      </c>
      <c r="C78" t="s">
        <v>29</v>
      </c>
      <c r="D78">
        <v>20</v>
      </c>
      <c r="E78" t="s">
        <v>24</v>
      </c>
      <c r="F78" t="s">
        <v>25</v>
      </c>
      <c r="H78" t="s">
        <v>27</v>
      </c>
      <c r="I78" t="s">
        <v>20</v>
      </c>
      <c r="J78" t="s">
        <v>21</v>
      </c>
      <c r="L78" t="s">
        <v>52</v>
      </c>
      <c r="M78" t="s">
        <v>22</v>
      </c>
      <c r="N78" t="s">
        <v>23</v>
      </c>
      <c r="P78">
        <v>3</v>
      </c>
      <c r="Q78">
        <f t="shared" si="3"/>
        <v>1</v>
      </c>
      <c r="R78">
        <f>SENSEX!V23</f>
        <v>48</v>
      </c>
      <c r="S78">
        <f t="shared" si="4"/>
        <v>45</v>
      </c>
    </row>
    <row r="79" spans="1:19" x14ac:dyDescent="0.35">
      <c r="A79" t="str">
        <f>SENSEX!Q24</f>
        <v>SENSEX25D1884800CE</v>
      </c>
      <c r="B79" t="s">
        <v>26</v>
      </c>
      <c r="C79" t="s">
        <v>29</v>
      </c>
      <c r="D79">
        <v>20</v>
      </c>
      <c r="E79" t="s">
        <v>24</v>
      </c>
      <c r="F79" t="s">
        <v>25</v>
      </c>
      <c r="H79" t="s">
        <v>27</v>
      </c>
      <c r="I79" t="s">
        <v>20</v>
      </c>
      <c r="J79" t="s">
        <v>21</v>
      </c>
      <c r="L79" t="s">
        <v>52</v>
      </c>
      <c r="M79" t="s">
        <v>22</v>
      </c>
      <c r="N79" t="s">
        <v>23</v>
      </c>
      <c r="P79">
        <v>3</v>
      </c>
      <c r="Q79">
        <f t="shared" si="3"/>
        <v>1</v>
      </c>
      <c r="R79">
        <f>SENSEX!V24</f>
        <v>68</v>
      </c>
      <c r="S79">
        <f t="shared" si="4"/>
        <v>65</v>
      </c>
    </row>
    <row r="80" spans="1:19" x14ac:dyDescent="0.35">
      <c r="A80" t="str">
        <f>SENSEX!Q25</f>
        <v>SENSEX25D1885800PE</v>
      </c>
      <c r="B80" t="s">
        <v>26</v>
      </c>
      <c r="C80" t="s">
        <v>29</v>
      </c>
      <c r="D80">
        <v>20</v>
      </c>
      <c r="E80" t="s">
        <v>24</v>
      </c>
      <c r="F80" t="s">
        <v>25</v>
      </c>
      <c r="H80" t="s">
        <v>27</v>
      </c>
      <c r="I80" t="s">
        <v>20</v>
      </c>
      <c r="J80" t="s">
        <v>21</v>
      </c>
      <c r="L80" t="s">
        <v>52</v>
      </c>
      <c r="M80" t="s">
        <v>22</v>
      </c>
      <c r="N80" t="s">
        <v>23</v>
      </c>
      <c r="P80">
        <v>3</v>
      </c>
      <c r="Q80">
        <f t="shared" si="3"/>
        <v>1</v>
      </c>
      <c r="R80">
        <f>SENSEX!V25</f>
        <v>88</v>
      </c>
      <c r="S80">
        <f t="shared" si="4"/>
        <v>85</v>
      </c>
    </row>
    <row r="81" spans="1:19" x14ac:dyDescent="0.35">
      <c r="A81" t="str">
        <f>SENSEX!Q26</f>
        <v>SENSEX25D1885700PE</v>
      </c>
      <c r="B81" t="s">
        <v>26</v>
      </c>
      <c r="C81" t="s">
        <v>29</v>
      </c>
      <c r="D81">
        <v>20</v>
      </c>
      <c r="E81" t="s">
        <v>24</v>
      </c>
      <c r="F81" t="s">
        <v>25</v>
      </c>
      <c r="H81" t="s">
        <v>27</v>
      </c>
      <c r="I81" t="s">
        <v>20</v>
      </c>
      <c r="J81" t="s">
        <v>21</v>
      </c>
      <c r="L81" t="s">
        <v>52</v>
      </c>
      <c r="M81" t="s">
        <v>22</v>
      </c>
      <c r="N81" t="s">
        <v>23</v>
      </c>
      <c r="P81">
        <v>3</v>
      </c>
      <c r="Q81">
        <f t="shared" si="3"/>
        <v>1</v>
      </c>
      <c r="R81">
        <f>SENSEX!V26</f>
        <v>68</v>
      </c>
      <c r="S81">
        <f t="shared" si="4"/>
        <v>65</v>
      </c>
    </row>
    <row r="82" spans="1:19" x14ac:dyDescent="0.35">
      <c r="A82" t="str">
        <f>SENSEX!Q27</f>
        <v>SENSEX25D1885600PE</v>
      </c>
      <c r="B82" t="s">
        <v>26</v>
      </c>
      <c r="C82" t="s">
        <v>29</v>
      </c>
      <c r="D82">
        <v>20</v>
      </c>
      <c r="E82" t="s">
        <v>24</v>
      </c>
      <c r="F82" t="s">
        <v>25</v>
      </c>
      <c r="H82" t="s">
        <v>27</v>
      </c>
      <c r="I82" t="s">
        <v>20</v>
      </c>
      <c r="J82" t="s">
        <v>21</v>
      </c>
      <c r="L82" t="s">
        <v>52</v>
      </c>
      <c r="M82" t="s">
        <v>22</v>
      </c>
      <c r="N82" t="s">
        <v>23</v>
      </c>
      <c r="P82">
        <v>3</v>
      </c>
      <c r="Q82">
        <f t="shared" si="3"/>
        <v>1</v>
      </c>
      <c r="R82">
        <f>SENSEX!V27</f>
        <v>68</v>
      </c>
      <c r="S82">
        <f t="shared" si="4"/>
        <v>65</v>
      </c>
    </row>
    <row r="83" spans="1:19" x14ac:dyDescent="0.35">
      <c r="A83" t="str">
        <f>SENSEX!Q28</f>
        <v>SENSEX25D1885300PE</v>
      </c>
      <c r="B83" t="s">
        <v>26</v>
      </c>
      <c r="C83" t="s">
        <v>29</v>
      </c>
      <c r="D83">
        <v>20</v>
      </c>
      <c r="E83" t="s">
        <v>24</v>
      </c>
      <c r="F83" t="s">
        <v>25</v>
      </c>
      <c r="H83" t="s">
        <v>27</v>
      </c>
      <c r="I83" t="s">
        <v>20</v>
      </c>
      <c r="J83" t="s">
        <v>21</v>
      </c>
      <c r="L83" t="s">
        <v>52</v>
      </c>
      <c r="M83" t="s">
        <v>22</v>
      </c>
      <c r="N83" t="s">
        <v>23</v>
      </c>
      <c r="P83">
        <v>3</v>
      </c>
      <c r="Q83">
        <f t="shared" si="3"/>
        <v>1</v>
      </c>
      <c r="R83">
        <f>SENSEX!V28</f>
        <v>68</v>
      </c>
      <c r="S83">
        <f t="shared" si="4"/>
        <v>65</v>
      </c>
    </row>
    <row r="84" spans="1:19" x14ac:dyDescent="0.35">
      <c r="A84" t="str">
        <f>SENSEX!Q29</f>
        <v>SENSEX25D1885000PE</v>
      </c>
      <c r="B84" t="s">
        <v>26</v>
      </c>
      <c r="C84" t="s">
        <v>29</v>
      </c>
      <c r="D84">
        <v>20</v>
      </c>
      <c r="E84" t="s">
        <v>24</v>
      </c>
      <c r="F84" t="s">
        <v>25</v>
      </c>
      <c r="H84" t="s">
        <v>27</v>
      </c>
      <c r="I84" t="s">
        <v>20</v>
      </c>
      <c r="J84" t="s">
        <v>21</v>
      </c>
      <c r="L84" t="s">
        <v>52</v>
      </c>
      <c r="M84" t="s">
        <v>22</v>
      </c>
      <c r="N84" t="s">
        <v>23</v>
      </c>
      <c r="P84">
        <v>3</v>
      </c>
      <c r="Q84">
        <f t="shared" si="3"/>
        <v>1</v>
      </c>
      <c r="R84">
        <f>SENSEX!V29</f>
        <v>48</v>
      </c>
      <c r="S84">
        <f t="shared" si="4"/>
        <v>45</v>
      </c>
    </row>
    <row r="85" spans="1:19" x14ac:dyDescent="0.35">
      <c r="A85" t="str">
        <f>SENSEX!Q30</f>
        <v>SENSEX25D1884800PE</v>
      </c>
      <c r="B85" t="s">
        <v>26</v>
      </c>
      <c r="C85" t="s">
        <v>29</v>
      </c>
      <c r="D85">
        <v>20</v>
      </c>
      <c r="E85" t="s">
        <v>24</v>
      </c>
      <c r="F85" t="s">
        <v>25</v>
      </c>
      <c r="H85" t="s">
        <v>27</v>
      </c>
      <c r="I85" t="s">
        <v>20</v>
      </c>
      <c r="J85" t="s">
        <v>21</v>
      </c>
      <c r="L85" t="s">
        <v>52</v>
      </c>
      <c r="M85" t="s">
        <v>22</v>
      </c>
      <c r="N85" t="s">
        <v>23</v>
      </c>
      <c r="P85">
        <v>3</v>
      </c>
      <c r="Q85">
        <f t="shared" si="3"/>
        <v>1</v>
      </c>
      <c r="R85">
        <f>SENSEX!V30</f>
        <v>68</v>
      </c>
      <c r="S85">
        <f t="shared" si="4"/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645B-CDED-4C1A-9818-814E08AE099F}">
  <dimension ref="A1:S85"/>
  <sheetViews>
    <sheetView workbookViewId="0">
      <selection activeCell="A107" sqref="A107"/>
    </sheetView>
  </sheetViews>
  <sheetFormatPr defaultRowHeight="14.5" x14ac:dyDescent="0.35"/>
  <cols>
    <col min="1" max="1" width="19.453125" bestFit="1" customWidth="1"/>
    <col min="2" max="2" width="9" bestFit="1" customWidth="1"/>
    <col min="3" max="3" width="8.453125" bestFit="1" customWidth="1"/>
    <col min="4" max="4" width="3.6328125" bestFit="1" customWidth="1"/>
    <col min="5" max="5" width="10.36328125" bestFit="1" customWidth="1"/>
    <col min="6" max="6" width="5.1796875" bestFit="1" customWidth="1"/>
    <col min="7" max="7" width="11.7265625" bestFit="1" customWidth="1"/>
    <col min="8" max="8" width="7.453125" bestFit="1" customWidth="1"/>
    <col min="9" max="9" width="7.1796875" bestFit="1" customWidth="1"/>
    <col min="10" max="10" width="6.90625" bestFit="1" customWidth="1"/>
    <col min="11" max="11" width="12.6328125" bestFit="1" customWidth="1"/>
    <col min="12" max="12" width="5.54296875" bestFit="1" customWidth="1"/>
    <col min="13" max="13" width="3.81640625" bestFit="1" customWidth="1"/>
    <col min="14" max="14" width="8" bestFit="1" customWidth="1"/>
    <col min="15" max="15" width="10.08984375" bestFit="1" customWidth="1"/>
    <col min="16" max="16" width="13.7265625" bestFit="1" customWidth="1"/>
    <col min="17" max="17" width="12" bestFit="1" customWidth="1"/>
    <col min="18" max="18" width="13.7265625" bestFit="1" customWidth="1"/>
    <col min="19" max="19" width="12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tr">
        <f>SENSEX!Q3</f>
        <v>SENSEX25D1884600CE</v>
      </c>
      <c r="B2" t="s">
        <v>26</v>
      </c>
      <c r="C2" t="s">
        <v>19</v>
      </c>
      <c r="D2">
        <v>60</v>
      </c>
      <c r="E2" t="s">
        <v>24</v>
      </c>
      <c r="G2">
        <f>SENSEX!F3</f>
        <v>138</v>
      </c>
      <c r="H2" t="s">
        <v>27</v>
      </c>
      <c r="I2" t="s">
        <v>20</v>
      </c>
      <c r="J2" t="s">
        <v>21</v>
      </c>
      <c r="L2" t="s">
        <v>51</v>
      </c>
      <c r="M2" t="s">
        <v>22</v>
      </c>
      <c r="N2" t="s">
        <v>28</v>
      </c>
      <c r="O2">
        <f>G2-5</f>
        <v>133</v>
      </c>
    </row>
    <row r="3" spans="1:19" x14ac:dyDescent="0.35">
      <c r="A3" t="str">
        <f>SENSEX!Q4</f>
        <v>SENSEX25D1884700CE</v>
      </c>
      <c r="B3" t="s">
        <v>26</v>
      </c>
      <c r="C3" t="s">
        <v>19</v>
      </c>
      <c r="D3">
        <v>60</v>
      </c>
      <c r="E3" t="s">
        <v>24</v>
      </c>
      <c r="G3">
        <f>SENSEX!F4</f>
        <v>138</v>
      </c>
      <c r="H3" t="s">
        <v>27</v>
      </c>
      <c r="I3" t="s">
        <v>20</v>
      </c>
      <c r="J3" t="s">
        <v>21</v>
      </c>
      <c r="L3" t="s">
        <v>51</v>
      </c>
      <c r="M3" t="s">
        <v>22</v>
      </c>
      <c r="N3" t="s">
        <v>28</v>
      </c>
      <c r="O3">
        <f t="shared" ref="O3:O29" si="0">G3-5</f>
        <v>133</v>
      </c>
    </row>
    <row r="4" spans="1:19" x14ac:dyDescent="0.35">
      <c r="A4" t="str">
        <f>SENSEX!Q5</f>
        <v>SENSEX25D1884800CE</v>
      </c>
      <c r="B4" t="s">
        <v>26</v>
      </c>
      <c r="C4" t="s">
        <v>19</v>
      </c>
      <c r="D4">
        <v>60</v>
      </c>
      <c r="E4" t="s">
        <v>24</v>
      </c>
      <c r="G4">
        <f>SENSEX!F5</f>
        <v>138</v>
      </c>
      <c r="H4" t="s">
        <v>27</v>
      </c>
      <c r="I4" t="s">
        <v>20</v>
      </c>
      <c r="J4" t="s">
        <v>21</v>
      </c>
      <c r="L4" t="s">
        <v>51</v>
      </c>
      <c r="M4" t="s">
        <v>22</v>
      </c>
      <c r="N4" t="s">
        <v>28</v>
      </c>
      <c r="O4">
        <f t="shared" si="0"/>
        <v>133</v>
      </c>
    </row>
    <row r="5" spans="1:19" x14ac:dyDescent="0.35">
      <c r="A5" t="str">
        <f>SENSEX!Q6</f>
        <v>SENSEX25D1884900CE</v>
      </c>
      <c r="B5" t="s">
        <v>26</v>
      </c>
      <c r="C5" t="s">
        <v>19</v>
      </c>
      <c r="D5">
        <v>60</v>
      </c>
      <c r="E5" t="s">
        <v>24</v>
      </c>
      <c r="G5">
        <f>SENSEX!F6</f>
        <v>128</v>
      </c>
      <c r="H5" t="s">
        <v>27</v>
      </c>
      <c r="I5" t="s">
        <v>20</v>
      </c>
      <c r="J5" t="s">
        <v>21</v>
      </c>
      <c r="L5" t="s">
        <v>51</v>
      </c>
      <c r="M5" t="s">
        <v>22</v>
      </c>
      <c r="N5" t="s">
        <v>28</v>
      </c>
      <c r="O5">
        <f t="shared" si="0"/>
        <v>123</v>
      </c>
    </row>
    <row r="6" spans="1:19" x14ac:dyDescent="0.35">
      <c r="A6" t="str">
        <f>SENSEX!Q7</f>
        <v>SENSEX25D1885000CE</v>
      </c>
      <c r="B6" t="s">
        <v>26</v>
      </c>
      <c r="C6" t="s">
        <v>19</v>
      </c>
      <c r="D6">
        <v>60</v>
      </c>
      <c r="E6" t="s">
        <v>24</v>
      </c>
      <c r="G6">
        <f>SENSEX!F7</f>
        <v>88</v>
      </c>
      <c r="H6" t="s">
        <v>27</v>
      </c>
      <c r="I6" t="s">
        <v>20</v>
      </c>
      <c r="J6" t="s">
        <v>21</v>
      </c>
      <c r="L6" t="s">
        <v>51</v>
      </c>
      <c r="M6" t="s">
        <v>22</v>
      </c>
      <c r="N6" t="s">
        <v>28</v>
      </c>
      <c r="O6">
        <f t="shared" si="0"/>
        <v>83</v>
      </c>
    </row>
    <row r="7" spans="1:19" x14ac:dyDescent="0.35">
      <c r="A7" t="str">
        <f>SENSEX!Q8</f>
        <v>SENSEX25D1885300CE</v>
      </c>
      <c r="B7" t="s">
        <v>26</v>
      </c>
      <c r="C7" t="s">
        <v>19</v>
      </c>
      <c r="D7">
        <v>60</v>
      </c>
      <c r="E7" t="s">
        <v>24</v>
      </c>
      <c r="G7">
        <f>SENSEX!F8</f>
        <v>68</v>
      </c>
      <c r="H7" t="s">
        <v>27</v>
      </c>
      <c r="I7" t="s">
        <v>20</v>
      </c>
      <c r="J7" t="s">
        <v>21</v>
      </c>
      <c r="L7" t="s">
        <v>51</v>
      </c>
      <c r="M7" t="s">
        <v>22</v>
      </c>
      <c r="N7" t="s">
        <v>28</v>
      </c>
      <c r="O7">
        <f t="shared" si="0"/>
        <v>63</v>
      </c>
    </row>
    <row r="8" spans="1:19" x14ac:dyDescent="0.35">
      <c r="A8" t="str">
        <f>SENSEX!Q9</f>
        <v>SENSEX25D1885600CE</v>
      </c>
      <c r="B8" t="s">
        <v>26</v>
      </c>
      <c r="C8" t="s">
        <v>19</v>
      </c>
      <c r="D8">
        <v>60</v>
      </c>
      <c r="E8" t="s">
        <v>24</v>
      </c>
      <c r="G8">
        <f>SENSEX!F9</f>
        <v>38</v>
      </c>
      <c r="H8" t="s">
        <v>27</v>
      </c>
      <c r="I8" t="s">
        <v>20</v>
      </c>
      <c r="J8" t="s">
        <v>21</v>
      </c>
      <c r="L8" t="s">
        <v>51</v>
      </c>
      <c r="M8" t="s">
        <v>22</v>
      </c>
      <c r="N8" t="s">
        <v>28</v>
      </c>
      <c r="O8">
        <f t="shared" si="0"/>
        <v>33</v>
      </c>
    </row>
    <row r="9" spans="1:19" x14ac:dyDescent="0.35">
      <c r="A9" t="str">
        <f>SENSEX!Q10</f>
        <v>SENSEX25D1885800CE</v>
      </c>
      <c r="B9" t="s">
        <v>26</v>
      </c>
      <c r="C9" t="s">
        <v>19</v>
      </c>
      <c r="D9">
        <v>60</v>
      </c>
      <c r="E9" t="s">
        <v>24</v>
      </c>
      <c r="G9">
        <f>SENSEX!F10</f>
        <v>68</v>
      </c>
      <c r="H9" t="s">
        <v>27</v>
      </c>
      <c r="I9" t="s">
        <v>20</v>
      </c>
      <c r="J9" t="s">
        <v>21</v>
      </c>
      <c r="L9" t="s">
        <v>51</v>
      </c>
      <c r="M9" t="s">
        <v>22</v>
      </c>
      <c r="N9" t="s">
        <v>28</v>
      </c>
      <c r="O9">
        <f t="shared" si="0"/>
        <v>63</v>
      </c>
    </row>
    <row r="10" spans="1:19" x14ac:dyDescent="0.35">
      <c r="A10" t="str">
        <f>SENSEX!Q11</f>
        <v>SENSEX25D1885000PE</v>
      </c>
      <c r="B10" t="s">
        <v>26</v>
      </c>
      <c r="C10" t="s">
        <v>19</v>
      </c>
      <c r="D10">
        <v>60</v>
      </c>
      <c r="E10" t="s">
        <v>24</v>
      </c>
      <c r="G10">
        <f>SENSEX!F11</f>
        <v>138</v>
      </c>
      <c r="H10" t="s">
        <v>27</v>
      </c>
      <c r="I10" t="s">
        <v>20</v>
      </c>
      <c r="J10" t="s">
        <v>21</v>
      </c>
      <c r="L10" t="s">
        <v>51</v>
      </c>
      <c r="M10" t="s">
        <v>22</v>
      </c>
      <c r="N10" t="s">
        <v>28</v>
      </c>
      <c r="O10">
        <f t="shared" si="0"/>
        <v>133</v>
      </c>
    </row>
    <row r="11" spans="1:19" x14ac:dyDescent="0.35">
      <c r="A11" t="str">
        <f>SENSEX!Q12</f>
        <v>SENSEX25D1884900PE</v>
      </c>
      <c r="B11" t="s">
        <v>26</v>
      </c>
      <c r="C11" t="s">
        <v>19</v>
      </c>
      <c r="D11">
        <v>60</v>
      </c>
      <c r="E11" t="s">
        <v>24</v>
      </c>
      <c r="G11">
        <f>SENSEX!F12</f>
        <v>138</v>
      </c>
      <c r="H11" t="s">
        <v>27</v>
      </c>
      <c r="I11" t="s">
        <v>20</v>
      </c>
      <c r="J11" t="s">
        <v>21</v>
      </c>
      <c r="L11" t="s">
        <v>51</v>
      </c>
      <c r="M11" t="s">
        <v>22</v>
      </c>
      <c r="N11" t="s">
        <v>28</v>
      </c>
      <c r="O11">
        <f t="shared" si="0"/>
        <v>133</v>
      </c>
    </row>
    <row r="12" spans="1:19" x14ac:dyDescent="0.35">
      <c r="A12" t="str">
        <f>SENSEX!Q13</f>
        <v>SENSEX25D1884800PE</v>
      </c>
      <c r="B12" t="s">
        <v>26</v>
      </c>
      <c r="C12" t="s">
        <v>19</v>
      </c>
      <c r="D12">
        <v>60</v>
      </c>
      <c r="E12" t="s">
        <v>24</v>
      </c>
      <c r="G12">
        <f>SENSEX!F13</f>
        <v>138</v>
      </c>
      <c r="H12" t="s">
        <v>27</v>
      </c>
      <c r="I12" t="s">
        <v>20</v>
      </c>
      <c r="J12" t="s">
        <v>21</v>
      </c>
      <c r="L12" t="s">
        <v>51</v>
      </c>
      <c r="M12" t="s">
        <v>22</v>
      </c>
      <c r="N12" t="s">
        <v>28</v>
      </c>
      <c r="O12">
        <f t="shared" si="0"/>
        <v>133</v>
      </c>
    </row>
    <row r="13" spans="1:19" x14ac:dyDescent="0.35">
      <c r="A13" t="str">
        <f>SENSEX!Q14</f>
        <v>SENSEX25D1884700PE</v>
      </c>
      <c r="B13" t="s">
        <v>26</v>
      </c>
      <c r="C13" t="s">
        <v>19</v>
      </c>
      <c r="D13">
        <v>60</v>
      </c>
      <c r="E13" t="s">
        <v>24</v>
      </c>
      <c r="G13">
        <f>SENSEX!F14</f>
        <v>128</v>
      </c>
      <c r="H13" t="s">
        <v>27</v>
      </c>
      <c r="I13" t="s">
        <v>20</v>
      </c>
      <c r="J13" t="s">
        <v>21</v>
      </c>
      <c r="L13" t="s">
        <v>51</v>
      </c>
      <c r="M13" t="s">
        <v>22</v>
      </c>
      <c r="N13" t="s">
        <v>28</v>
      </c>
      <c r="O13">
        <f t="shared" si="0"/>
        <v>123</v>
      </c>
    </row>
    <row r="14" spans="1:19" x14ac:dyDescent="0.35">
      <c r="A14" t="str">
        <f>SENSEX!Q15</f>
        <v>SENSEX25D1884600PE</v>
      </c>
      <c r="B14" t="s">
        <v>26</v>
      </c>
      <c r="C14" t="s">
        <v>19</v>
      </c>
      <c r="D14">
        <v>60</v>
      </c>
      <c r="E14" t="s">
        <v>24</v>
      </c>
      <c r="G14">
        <f>SENSEX!F15</f>
        <v>88</v>
      </c>
      <c r="H14" t="s">
        <v>27</v>
      </c>
      <c r="I14" t="s">
        <v>20</v>
      </c>
      <c r="J14" t="s">
        <v>21</v>
      </c>
      <c r="L14" t="s">
        <v>51</v>
      </c>
      <c r="M14" t="s">
        <v>22</v>
      </c>
      <c r="N14" t="s">
        <v>28</v>
      </c>
      <c r="O14">
        <f t="shared" si="0"/>
        <v>83</v>
      </c>
    </row>
    <row r="15" spans="1:19" x14ac:dyDescent="0.35">
      <c r="A15" t="str">
        <f>SENSEX!Q16</f>
        <v>SENSEX25D1884300PE</v>
      </c>
      <c r="B15" t="s">
        <v>26</v>
      </c>
      <c r="C15" t="s">
        <v>19</v>
      </c>
      <c r="D15">
        <v>60</v>
      </c>
      <c r="E15" t="s">
        <v>24</v>
      </c>
      <c r="G15">
        <f>SENSEX!F16</f>
        <v>68</v>
      </c>
      <c r="H15" t="s">
        <v>27</v>
      </c>
      <c r="I15" t="s">
        <v>20</v>
      </c>
      <c r="J15" t="s">
        <v>21</v>
      </c>
      <c r="L15" t="s">
        <v>51</v>
      </c>
      <c r="M15" t="s">
        <v>22</v>
      </c>
      <c r="N15" t="s">
        <v>28</v>
      </c>
      <c r="O15">
        <f t="shared" si="0"/>
        <v>63</v>
      </c>
    </row>
    <row r="16" spans="1:19" x14ac:dyDescent="0.35">
      <c r="A16" t="str">
        <f>SENSEX!Q17</f>
        <v>SENSEX25D1884000PE</v>
      </c>
      <c r="B16" t="s">
        <v>26</v>
      </c>
      <c r="C16" t="s">
        <v>19</v>
      </c>
      <c r="D16">
        <v>60</v>
      </c>
      <c r="E16" t="s">
        <v>24</v>
      </c>
      <c r="G16">
        <f>SENSEX!F17</f>
        <v>38</v>
      </c>
      <c r="H16" t="s">
        <v>27</v>
      </c>
      <c r="I16" t="s">
        <v>20</v>
      </c>
      <c r="J16" t="s">
        <v>21</v>
      </c>
      <c r="L16" t="s">
        <v>51</v>
      </c>
      <c r="M16" t="s">
        <v>22</v>
      </c>
      <c r="N16" t="s">
        <v>28</v>
      </c>
      <c r="O16">
        <f t="shared" si="0"/>
        <v>33</v>
      </c>
    </row>
    <row r="17" spans="1:19" x14ac:dyDescent="0.35">
      <c r="A17" t="str">
        <f>SENSEX!Q18</f>
        <v>SENSEX25D1883800PE</v>
      </c>
      <c r="B17" t="s">
        <v>26</v>
      </c>
      <c r="C17" t="s">
        <v>19</v>
      </c>
      <c r="D17">
        <v>60</v>
      </c>
      <c r="E17" t="s">
        <v>24</v>
      </c>
      <c r="G17">
        <f>SENSEX!F18</f>
        <v>68</v>
      </c>
      <c r="H17" t="s">
        <v>27</v>
      </c>
      <c r="I17" t="s">
        <v>20</v>
      </c>
      <c r="J17" t="s">
        <v>21</v>
      </c>
      <c r="L17" t="s">
        <v>51</v>
      </c>
      <c r="M17" t="s">
        <v>22</v>
      </c>
      <c r="N17" t="s">
        <v>28</v>
      </c>
      <c r="O17">
        <f t="shared" si="0"/>
        <v>63</v>
      </c>
    </row>
    <row r="18" spans="1:19" x14ac:dyDescent="0.35">
      <c r="A18" t="str">
        <f>SENSEX!Q19</f>
        <v>SENSEX25D1883800CE</v>
      </c>
      <c r="B18" t="s">
        <v>26</v>
      </c>
      <c r="C18" t="s">
        <v>19</v>
      </c>
      <c r="D18">
        <v>60</v>
      </c>
      <c r="E18" t="s">
        <v>24</v>
      </c>
      <c r="G18">
        <f>SENSEX!F19</f>
        <v>138</v>
      </c>
      <c r="H18" t="s">
        <v>27</v>
      </c>
      <c r="I18" t="s">
        <v>20</v>
      </c>
      <c r="J18" t="s">
        <v>21</v>
      </c>
      <c r="L18" t="s">
        <v>51</v>
      </c>
      <c r="M18" t="s">
        <v>22</v>
      </c>
      <c r="N18" t="s">
        <v>28</v>
      </c>
      <c r="O18">
        <f t="shared" si="0"/>
        <v>133</v>
      </c>
    </row>
    <row r="19" spans="1:19" x14ac:dyDescent="0.35">
      <c r="A19" t="str">
        <f>SENSEX!Q20</f>
        <v>SENSEX25D1883900CE</v>
      </c>
      <c r="B19" t="s">
        <v>26</v>
      </c>
      <c r="C19" t="s">
        <v>19</v>
      </c>
      <c r="D19">
        <v>60</v>
      </c>
      <c r="E19" t="s">
        <v>24</v>
      </c>
      <c r="G19">
        <f>SENSEX!F20</f>
        <v>128</v>
      </c>
      <c r="H19" t="s">
        <v>27</v>
      </c>
      <c r="I19" t="s">
        <v>20</v>
      </c>
      <c r="J19" t="s">
        <v>21</v>
      </c>
      <c r="L19" t="s">
        <v>51</v>
      </c>
      <c r="M19" t="s">
        <v>22</v>
      </c>
      <c r="N19" t="s">
        <v>28</v>
      </c>
      <c r="O19">
        <f t="shared" si="0"/>
        <v>123</v>
      </c>
    </row>
    <row r="20" spans="1:19" x14ac:dyDescent="0.35">
      <c r="A20" t="str">
        <f>SENSEX!Q21</f>
        <v>SENSEX25D1884000CE</v>
      </c>
      <c r="B20" t="s">
        <v>26</v>
      </c>
      <c r="C20" t="s">
        <v>19</v>
      </c>
      <c r="D20">
        <v>60</v>
      </c>
      <c r="E20" t="s">
        <v>24</v>
      </c>
      <c r="G20">
        <f>SENSEX!F21</f>
        <v>88</v>
      </c>
      <c r="H20" t="s">
        <v>27</v>
      </c>
      <c r="I20" t="s">
        <v>20</v>
      </c>
      <c r="J20" t="s">
        <v>21</v>
      </c>
      <c r="L20" t="s">
        <v>51</v>
      </c>
      <c r="M20" t="s">
        <v>22</v>
      </c>
      <c r="N20" t="s">
        <v>28</v>
      </c>
      <c r="O20">
        <f t="shared" si="0"/>
        <v>83</v>
      </c>
    </row>
    <row r="21" spans="1:19" x14ac:dyDescent="0.35">
      <c r="A21" t="str">
        <f>SENSEX!Q22</f>
        <v>SENSEX25D1884300CE</v>
      </c>
      <c r="B21" t="s">
        <v>26</v>
      </c>
      <c r="C21" t="s">
        <v>19</v>
      </c>
      <c r="D21">
        <v>60</v>
      </c>
      <c r="E21" t="s">
        <v>24</v>
      </c>
      <c r="G21">
        <f>SENSEX!F22</f>
        <v>68</v>
      </c>
      <c r="H21" t="s">
        <v>27</v>
      </c>
      <c r="I21" t="s">
        <v>20</v>
      </c>
      <c r="J21" t="s">
        <v>21</v>
      </c>
      <c r="L21" t="s">
        <v>51</v>
      </c>
      <c r="M21" t="s">
        <v>22</v>
      </c>
      <c r="N21" t="s">
        <v>28</v>
      </c>
      <c r="O21">
        <f t="shared" si="0"/>
        <v>63</v>
      </c>
    </row>
    <row r="22" spans="1:19" x14ac:dyDescent="0.35">
      <c r="A22" t="str">
        <f>SENSEX!Q23</f>
        <v>SENSEX25D1884600CE</v>
      </c>
      <c r="B22" t="s">
        <v>26</v>
      </c>
      <c r="C22" t="s">
        <v>19</v>
      </c>
      <c r="D22">
        <v>60</v>
      </c>
      <c r="E22" t="s">
        <v>24</v>
      </c>
      <c r="G22">
        <f>SENSEX!F23</f>
        <v>38</v>
      </c>
      <c r="H22" t="s">
        <v>27</v>
      </c>
      <c r="I22" t="s">
        <v>20</v>
      </c>
      <c r="J22" t="s">
        <v>21</v>
      </c>
      <c r="L22" t="s">
        <v>51</v>
      </c>
      <c r="M22" t="s">
        <v>22</v>
      </c>
      <c r="N22" t="s">
        <v>28</v>
      </c>
      <c r="O22">
        <f t="shared" si="0"/>
        <v>33</v>
      </c>
    </row>
    <row r="23" spans="1:19" x14ac:dyDescent="0.35">
      <c r="A23" t="str">
        <f>SENSEX!Q24</f>
        <v>SENSEX25D1884800CE</v>
      </c>
      <c r="B23" t="s">
        <v>26</v>
      </c>
      <c r="C23" t="s">
        <v>19</v>
      </c>
      <c r="D23">
        <v>60</v>
      </c>
      <c r="E23" t="s">
        <v>24</v>
      </c>
      <c r="G23">
        <f>SENSEX!F24</f>
        <v>68</v>
      </c>
      <c r="H23" t="s">
        <v>27</v>
      </c>
      <c r="I23" t="s">
        <v>20</v>
      </c>
      <c r="J23" t="s">
        <v>21</v>
      </c>
      <c r="L23" t="s">
        <v>51</v>
      </c>
      <c r="M23" t="s">
        <v>22</v>
      </c>
      <c r="N23" t="s">
        <v>28</v>
      </c>
      <c r="O23">
        <f t="shared" si="0"/>
        <v>63</v>
      </c>
    </row>
    <row r="24" spans="1:19" x14ac:dyDescent="0.35">
      <c r="A24" t="str">
        <f>SENSEX!Q25</f>
        <v>SENSEX25D1885800PE</v>
      </c>
      <c r="B24" t="s">
        <v>26</v>
      </c>
      <c r="C24" t="s">
        <v>19</v>
      </c>
      <c r="D24">
        <v>60</v>
      </c>
      <c r="E24" t="s">
        <v>24</v>
      </c>
      <c r="G24">
        <f>SENSEX!F25</f>
        <v>138</v>
      </c>
      <c r="H24" t="s">
        <v>27</v>
      </c>
      <c r="I24" t="s">
        <v>20</v>
      </c>
      <c r="J24" t="s">
        <v>21</v>
      </c>
      <c r="L24" t="s">
        <v>51</v>
      </c>
      <c r="M24" t="s">
        <v>22</v>
      </c>
      <c r="N24" t="s">
        <v>28</v>
      </c>
      <c r="O24">
        <f t="shared" si="0"/>
        <v>133</v>
      </c>
    </row>
    <row r="25" spans="1:19" x14ac:dyDescent="0.35">
      <c r="A25" t="str">
        <f>SENSEX!Q26</f>
        <v>SENSEX25D1885700PE</v>
      </c>
      <c r="B25" t="s">
        <v>26</v>
      </c>
      <c r="C25" t="s">
        <v>19</v>
      </c>
      <c r="D25">
        <v>60</v>
      </c>
      <c r="E25" t="s">
        <v>24</v>
      </c>
      <c r="G25">
        <f>SENSEX!F26</f>
        <v>128</v>
      </c>
      <c r="H25" t="s">
        <v>27</v>
      </c>
      <c r="I25" t="s">
        <v>20</v>
      </c>
      <c r="J25" t="s">
        <v>21</v>
      </c>
      <c r="L25" t="s">
        <v>51</v>
      </c>
      <c r="M25" t="s">
        <v>22</v>
      </c>
      <c r="N25" t="s">
        <v>28</v>
      </c>
      <c r="O25">
        <f t="shared" si="0"/>
        <v>123</v>
      </c>
    </row>
    <row r="26" spans="1:19" x14ac:dyDescent="0.35">
      <c r="A26" t="str">
        <f>SENSEX!Q27</f>
        <v>SENSEX25D1885600PE</v>
      </c>
      <c r="B26" t="s">
        <v>26</v>
      </c>
      <c r="C26" t="s">
        <v>19</v>
      </c>
      <c r="D26">
        <v>60</v>
      </c>
      <c r="E26" t="s">
        <v>24</v>
      </c>
      <c r="G26">
        <f>SENSEX!F27</f>
        <v>88</v>
      </c>
      <c r="H26" t="s">
        <v>27</v>
      </c>
      <c r="I26" t="s">
        <v>20</v>
      </c>
      <c r="J26" t="s">
        <v>21</v>
      </c>
      <c r="L26" t="s">
        <v>51</v>
      </c>
      <c r="M26" t="s">
        <v>22</v>
      </c>
      <c r="N26" t="s">
        <v>28</v>
      </c>
      <c r="O26">
        <f t="shared" si="0"/>
        <v>83</v>
      </c>
    </row>
    <row r="27" spans="1:19" x14ac:dyDescent="0.35">
      <c r="A27" t="str">
        <f>SENSEX!Q28</f>
        <v>SENSEX25D1885300PE</v>
      </c>
      <c r="B27" t="s">
        <v>26</v>
      </c>
      <c r="C27" t="s">
        <v>19</v>
      </c>
      <c r="D27">
        <v>60</v>
      </c>
      <c r="E27" t="s">
        <v>24</v>
      </c>
      <c r="G27">
        <f>SENSEX!F28</f>
        <v>68</v>
      </c>
      <c r="H27" t="s">
        <v>27</v>
      </c>
      <c r="I27" t="s">
        <v>20</v>
      </c>
      <c r="J27" t="s">
        <v>21</v>
      </c>
      <c r="L27" t="s">
        <v>51</v>
      </c>
      <c r="M27" t="s">
        <v>22</v>
      </c>
      <c r="N27" t="s">
        <v>28</v>
      </c>
      <c r="O27">
        <f t="shared" si="0"/>
        <v>63</v>
      </c>
    </row>
    <row r="28" spans="1:19" x14ac:dyDescent="0.35">
      <c r="A28" t="str">
        <f>SENSEX!Q29</f>
        <v>SENSEX25D1885000PE</v>
      </c>
      <c r="B28" t="s">
        <v>26</v>
      </c>
      <c r="C28" t="s">
        <v>19</v>
      </c>
      <c r="D28">
        <v>60</v>
      </c>
      <c r="E28" t="s">
        <v>24</v>
      </c>
      <c r="G28">
        <f>SENSEX!F29</f>
        <v>38</v>
      </c>
      <c r="H28" t="s">
        <v>27</v>
      </c>
      <c r="I28" t="s">
        <v>20</v>
      </c>
      <c r="J28" t="s">
        <v>21</v>
      </c>
      <c r="L28" t="s">
        <v>51</v>
      </c>
      <c r="M28" t="s">
        <v>22</v>
      </c>
      <c r="N28" t="s">
        <v>28</v>
      </c>
      <c r="O28">
        <f t="shared" si="0"/>
        <v>33</v>
      </c>
    </row>
    <row r="29" spans="1:19" x14ac:dyDescent="0.35">
      <c r="A29" t="str">
        <f>SENSEX!Q30</f>
        <v>SENSEX25D1884800PE</v>
      </c>
      <c r="B29" t="s">
        <v>26</v>
      </c>
      <c r="C29" t="s">
        <v>19</v>
      </c>
      <c r="D29">
        <v>60</v>
      </c>
      <c r="E29" t="s">
        <v>24</v>
      </c>
      <c r="G29">
        <f>SENSEX!F30</f>
        <v>68</v>
      </c>
      <c r="H29" t="s">
        <v>27</v>
      </c>
      <c r="I29" t="s">
        <v>20</v>
      </c>
      <c r="J29" t="s">
        <v>21</v>
      </c>
      <c r="L29" t="s">
        <v>51</v>
      </c>
      <c r="M29" t="s">
        <v>22</v>
      </c>
      <c r="N29" t="s">
        <v>28</v>
      </c>
      <c r="O29">
        <f t="shared" si="0"/>
        <v>63</v>
      </c>
    </row>
    <row r="30" spans="1:19" x14ac:dyDescent="0.35">
      <c r="A30" t="str">
        <f>SENSEX!Q3</f>
        <v>SENSEX25D1884600CE</v>
      </c>
      <c r="B30" t="s">
        <v>26</v>
      </c>
      <c r="C30" t="s">
        <v>29</v>
      </c>
      <c r="D30">
        <v>60</v>
      </c>
      <c r="E30" t="s">
        <v>24</v>
      </c>
      <c r="F30" t="s">
        <v>25</v>
      </c>
      <c r="H30" t="s">
        <v>27</v>
      </c>
      <c r="I30" t="s">
        <v>20</v>
      </c>
      <c r="J30" t="s">
        <v>21</v>
      </c>
      <c r="L30" t="s">
        <v>51</v>
      </c>
      <c r="M30" t="s">
        <v>22</v>
      </c>
      <c r="N30" t="s">
        <v>23</v>
      </c>
      <c r="P30">
        <v>3</v>
      </c>
      <c r="Q30">
        <f>P30-2</f>
        <v>1</v>
      </c>
      <c r="R30">
        <f>SENSEX!G3</f>
        <v>238</v>
      </c>
      <c r="S30">
        <f>R30-3</f>
        <v>235</v>
      </c>
    </row>
    <row r="31" spans="1:19" x14ac:dyDescent="0.35">
      <c r="A31" t="str">
        <f>SENSEX!Q4</f>
        <v>SENSEX25D1884700CE</v>
      </c>
      <c r="B31" t="s">
        <v>26</v>
      </c>
      <c r="C31" t="s">
        <v>29</v>
      </c>
      <c r="D31">
        <v>40</v>
      </c>
      <c r="E31" t="s">
        <v>24</v>
      </c>
      <c r="F31" t="s">
        <v>25</v>
      </c>
      <c r="H31" t="s">
        <v>27</v>
      </c>
      <c r="I31" t="s">
        <v>20</v>
      </c>
      <c r="J31" t="s">
        <v>21</v>
      </c>
      <c r="L31" t="s">
        <v>51</v>
      </c>
      <c r="M31" t="s">
        <v>22</v>
      </c>
      <c r="N31" t="s">
        <v>23</v>
      </c>
      <c r="P31">
        <v>3</v>
      </c>
      <c r="Q31">
        <f t="shared" ref="Q31:Q57" si="1">P31-2</f>
        <v>1</v>
      </c>
      <c r="R31">
        <f>SENSEX!G4</f>
        <v>238</v>
      </c>
      <c r="S31">
        <f t="shared" ref="S31:S57" si="2">R31-3</f>
        <v>235</v>
      </c>
    </row>
    <row r="32" spans="1:19" x14ac:dyDescent="0.35">
      <c r="A32" t="str">
        <f>SENSEX!Q5</f>
        <v>SENSEX25D1884800CE</v>
      </c>
      <c r="B32" t="s">
        <v>26</v>
      </c>
      <c r="C32" t="s">
        <v>29</v>
      </c>
      <c r="D32">
        <v>40</v>
      </c>
      <c r="E32" t="s">
        <v>24</v>
      </c>
      <c r="F32" t="s">
        <v>25</v>
      </c>
      <c r="H32" t="s">
        <v>27</v>
      </c>
      <c r="I32" t="s">
        <v>20</v>
      </c>
      <c r="J32" t="s">
        <v>21</v>
      </c>
      <c r="L32" t="s">
        <v>51</v>
      </c>
      <c r="M32" t="s">
        <v>22</v>
      </c>
      <c r="N32" t="s">
        <v>23</v>
      </c>
      <c r="P32">
        <v>3</v>
      </c>
      <c r="Q32">
        <f t="shared" si="1"/>
        <v>1</v>
      </c>
      <c r="R32">
        <f>SENSEX!G5</f>
        <v>238</v>
      </c>
      <c r="S32">
        <f t="shared" si="2"/>
        <v>235</v>
      </c>
    </row>
    <row r="33" spans="1:19" x14ac:dyDescent="0.35">
      <c r="A33" t="str">
        <f>SENSEX!Q6</f>
        <v>SENSEX25D1884900CE</v>
      </c>
      <c r="B33" t="s">
        <v>26</v>
      </c>
      <c r="C33" t="s">
        <v>29</v>
      </c>
      <c r="D33">
        <v>40</v>
      </c>
      <c r="E33" t="s">
        <v>24</v>
      </c>
      <c r="F33" t="s">
        <v>25</v>
      </c>
      <c r="H33" t="s">
        <v>27</v>
      </c>
      <c r="I33" t="s">
        <v>20</v>
      </c>
      <c r="J33" t="s">
        <v>21</v>
      </c>
      <c r="L33" t="s">
        <v>51</v>
      </c>
      <c r="M33" t="s">
        <v>22</v>
      </c>
      <c r="N33" t="s">
        <v>23</v>
      </c>
      <c r="P33">
        <v>3</v>
      </c>
      <c r="Q33">
        <f t="shared" si="1"/>
        <v>1</v>
      </c>
      <c r="R33">
        <f>SENSEX!G6</f>
        <v>228</v>
      </c>
      <c r="S33">
        <f t="shared" si="2"/>
        <v>225</v>
      </c>
    </row>
    <row r="34" spans="1:19" x14ac:dyDescent="0.35">
      <c r="A34" t="str">
        <f>SENSEX!Q7</f>
        <v>SENSEX25D1885000CE</v>
      </c>
      <c r="B34" t="s">
        <v>26</v>
      </c>
      <c r="C34" t="s">
        <v>29</v>
      </c>
      <c r="D34">
        <v>40</v>
      </c>
      <c r="E34" t="s">
        <v>24</v>
      </c>
      <c r="F34" t="s">
        <v>25</v>
      </c>
      <c r="H34" t="s">
        <v>27</v>
      </c>
      <c r="I34" t="s">
        <v>20</v>
      </c>
      <c r="J34" t="s">
        <v>21</v>
      </c>
      <c r="L34" t="s">
        <v>51</v>
      </c>
      <c r="M34" t="s">
        <v>22</v>
      </c>
      <c r="N34" t="s">
        <v>23</v>
      </c>
      <c r="P34">
        <v>3</v>
      </c>
      <c r="Q34">
        <f t="shared" si="1"/>
        <v>1</v>
      </c>
      <c r="R34">
        <f>SENSEX!G7</f>
        <v>168</v>
      </c>
      <c r="S34">
        <f t="shared" si="2"/>
        <v>165</v>
      </c>
    </row>
    <row r="35" spans="1:19" x14ac:dyDescent="0.35">
      <c r="A35" t="str">
        <f>SENSEX!Q8</f>
        <v>SENSEX25D1885300CE</v>
      </c>
      <c r="B35" t="s">
        <v>26</v>
      </c>
      <c r="C35" t="s">
        <v>29</v>
      </c>
      <c r="D35">
        <v>40</v>
      </c>
      <c r="E35" t="s">
        <v>24</v>
      </c>
      <c r="F35" t="s">
        <v>25</v>
      </c>
      <c r="H35" t="s">
        <v>27</v>
      </c>
      <c r="I35" t="s">
        <v>20</v>
      </c>
      <c r="J35" t="s">
        <v>21</v>
      </c>
      <c r="L35" t="s">
        <v>51</v>
      </c>
      <c r="M35" t="s">
        <v>22</v>
      </c>
      <c r="N35" t="s">
        <v>23</v>
      </c>
      <c r="P35">
        <v>3</v>
      </c>
      <c r="Q35">
        <f t="shared" si="1"/>
        <v>1</v>
      </c>
      <c r="R35">
        <f>SENSEX!G8</f>
        <v>138</v>
      </c>
      <c r="S35">
        <f t="shared" si="2"/>
        <v>135</v>
      </c>
    </row>
    <row r="36" spans="1:19" x14ac:dyDescent="0.35">
      <c r="A36" t="str">
        <f>SENSEX!Q9</f>
        <v>SENSEX25D1885600CE</v>
      </c>
      <c r="B36" t="s">
        <v>26</v>
      </c>
      <c r="C36" t="s">
        <v>29</v>
      </c>
      <c r="D36">
        <v>40</v>
      </c>
      <c r="E36" t="s">
        <v>24</v>
      </c>
      <c r="F36" t="s">
        <v>25</v>
      </c>
      <c r="H36" t="s">
        <v>27</v>
      </c>
      <c r="I36" t="s">
        <v>20</v>
      </c>
      <c r="J36" t="s">
        <v>21</v>
      </c>
      <c r="L36" t="s">
        <v>51</v>
      </c>
      <c r="M36" t="s">
        <v>22</v>
      </c>
      <c r="N36" t="s">
        <v>23</v>
      </c>
      <c r="P36">
        <v>3</v>
      </c>
      <c r="Q36">
        <f t="shared" si="1"/>
        <v>1</v>
      </c>
      <c r="R36">
        <f>SENSEX!G9</f>
        <v>68</v>
      </c>
      <c r="S36">
        <f t="shared" si="2"/>
        <v>65</v>
      </c>
    </row>
    <row r="37" spans="1:19" x14ac:dyDescent="0.35">
      <c r="A37" t="str">
        <f>SENSEX!Q10</f>
        <v>SENSEX25D1885800CE</v>
      </c>
      <c r="B37" t="s">
        <v>26</v>
      </c>
      <c r="C37" t="s">
        <v>29</v>
      </c>
      <c r="D37">
        <v>40</v>
      </c>
      <c r="E37" t="s">
        <v>24</v>
      </c>
      <c r="F37" t="s">
        <v>25</v>
      </c>
      <c r="H37" t="s">
        <v>27</v>
      </c>
      <c r="I37" t="s">
        <v>20</v>
      </c>
      <c r="J37" t="s">
        <v>21</v>
      </c>
      <c r="L37" t="s">
        <v>51</v>
      </c>
      <c r="M37" t="s">
        <v>22</v>
      </c>
      <c r="N37" t="s">
        <v>23</v>
      </c>
      <c r="P37">
        <v>3</v>
      </c>
      <c r="Q37">
        <f t="shared" si="1"/>
        <v>1</v>
      </c>
      <c r="R37">
        <f>SENSEX!G10</f>
        <v>138</v>
      </c>
      <c r="S37">
        <f t="shared" si="2"/>
        <v>135</v>
      </c>
    </row>
    <row r="38" spans="1:19" x14ac:dyDescent="0.35">
      <c r="A38" t="str">
        <f>SENSEX!Q11</f>
        <v>SENSEX25D1885000PE</v>
      </c>
      <c r="B38" t="s">
        <v>26</v>
      </c>
      <c r="C38" t="s">
        <v>29</v>
      </c>
      <c r="D38">
        <v>40</v>
      </c>
      <c r="E38" t="s">
        <v>24</v>
      </c>
      <c r="F38" t="s">
        <v>25</v>
      </c>
      <c r="H38" t="s">
        <v>27</v>
      </c>
      <c r="I38" t="s">
        <v>20</v>
      </c>
      <c r="J38" t="s">
        <v>21</v>
      </c>
      <c r="L38" t="s">
        <v>51</v>
      </c>
      <c r="M38" t="s">
        <v>22</v>
      </c>
      <c r="N38" t="s">
        <v>23</v>
      </c>
      <c r="P38">
        <v>3</v>
      </c>
      <c r="Q38">
        <f t="shared" si="1"/>
        <v>1</v>
      </c>
      <c r="R38">
        <f>SENSEX!G11</f>
        <v>238</v>
      </c>
      <c r="S38">
        <f t="shared" si="2"/>
        <v>235</v>
      </c>
    </row>
    <row r="39" spans="1:19" x14ac:dyDescent="0.35">
      <c r="A39" t="str">
        <f>SENSEX!Q12</f>
        <v>SENSEX25D1884900PE</v>
      </c>
      <c r="B39" t="s">
        <v>26</v>
      </c>
      <c r="C39" t="s">
        <v>29</v>
      </c>
      <c r="D39">
        <v>40</v>
      </c>
      <c r="E39" t="s">
        <v>24</v>
      </c>
      <c r="F39" t="s">
        <v>25</v>
      </c>
      <c r="H39" t="s">
        <v>27</v>
      </c>
      <c r="I39" t="s">
        <v>20</v>
      </c>
      <c r="J39" t="s">
        <v>21</v>
      </c>
      <c r="L39" t="s">
        <v>51</v>
      </c>
      <c r="M39" t="s">
        <v>22</v>
      </c>
      <c r="N39" t="s">
        <v>23</v>
      </c>
      <c r="P39">
        <v>3</v>
      </c>
      <c r="Q39">
        <f t="shared" si="1"/>
        <v>1</v>
      </c>
      <c r="R39">
        <f>SENSEX!G12</f>
        <v>238</v>
      </c>
      <c r="S39">
        <f t="shared" si="2"/>
        <v>235</v>
      </c>
    </row>
    <row r="40" spans="1:19" x14ac:dyDescent="0.35">
      <c r="A40" t="str">
        <f>SENSEX!Q13</f>
        <v>SENSEX25D1884800PE</v>
      </c>
      <c r="B40" t="s">
        <v>26</v>
      </c>
      <c r="C40" t="s">
        <v>29</v>
      </c>
      <c r="D40">
        <v>40</v>
      </c>
      <c r="E40" t="s">
        <v>24</v>
      </c>
      <c r="F40" t="s">
        <v>25</v>
      </c>
      <c r="H40" t="s">
        <v>27</v>
      </c>
      <c r="I40" t="s">
        <v>20</v>
      </c>
      <c r="J40" t="s">
        <v>21</v>
      </c>
      <c r="L40" t="s">
        <v>51</v>
      </c>
      <c r="M40" t="s">
        <v>22</v>
      </c>
      <c r="N40" t="s">
        <v>23</v>
      </c>
      <c r="P40">
        <v>3</v>
      </c>
      <c r="Q40">
        <f t="shared" si="1"/>
        <v>1</v>
      </c>
      <c r="R40">
        <f>SENSEX!G13</f>
        <v>238</v>
      </c>
      <c r="S40">
        <f t="shared" si="2"/>
        <v>235</v>
      </c>
    </row>
    <row r="41" spans="1:19" x14ac:dyDescent="0.35">
      <c r="A41" t="str">
        <f>SENSEX!Q14</f>
        <v>SENSEX25D1884700PE</v>
      </c>
      <c r="B41" t="s">
        <v>26</v>
      </c>
      <c r="C41" t="s">
        <v>29</v>
      </c>
      <c r="D41">
        <v>40</v>
      </c>
      <c r="E41" t="s">
        <v>24</v>
      </c>
      <c r="F41" t="s">
        <v>25</v>
      </c>
      <c r="H41" t="s">
        <v>27</v>
      </c>
      <c r="I41" t="s">
        <v>20</v>
      </c>
      <c r="J41" t="s">
        <v>21</v>
      </c>
      <c r="L41" t="s">
        <v>51</v>
      </c>
      <c r="M41" t="s">
        <v>22</v>
      </c>
      <c r="N41" t="s">
        <v>23</v>
      </c>
      <c r="P41">
        <v>3</v>
      </c>
      <c r="Q41">
        <f t="shared" si="1"/>
        <v>1</v>
      </c>
      <c r="R41">
        <f>SENSEX!G14</f>
        <v>228</v>
      </c>
      <c r="S41">
        <f t="shared" si="2"/>
        <v>225</v>
      </c>
    </row>
    <row r="42" spans="1:19" x14ac:dyDescent="0.35">
      <c r="A42" t="str">
        <f>SENSEX!Q15</f>
        <v>SENSEX25D1884600PE</v>
      </c>
      <c r="B42" t="s">
        <v>26</v>
      </c>
      <c r="C42" t="s">
        <v>29</v>
      </c>
      <c r="D42">
        <v>40</v>
      </c>
      <c r="E42" t="s">
        <v>24</v>
      </c>
      <c r="F42" t="s">
        <v>25</v>
      </c>
      <c r="H42" t="s">
        <v>27</v>
      </c>
      <c r="I42" t="s">
        <v>20</v>
      </c>
      <c r="J42" t="s">
        <v>21</v>
      </c>
      <c r="L42" t="s">
        <v>51</v>
      </c>
      <c r="M42" t="s">
        <v>22</v>
      </c>
      <c r="N42" t="s">
        <v>23</v>
      </c>
      <c r="P42">
        <v>3</v>
      </c>
      <c r="Q42">
        <f t="shared" si="1"/>
        <v>1</v>
      </c>
      <c r="R42">
        <f>SENSEX!G15</f>
        <v>168</v>
      </c>
      <c r="S42">
        <f t="shared" si="2"/>
        <v>165</v>
      </c>
    </row>
    <row r="43" spans="1:19" x14ac:dyDescent="0.35">
      <c r="A43" t="str">
        <f>SENSEX!Q16</f>
        <v>SENSEX25D1884300PE</v>
      </c>
      <c r="B43" t="s">
        <v>26</v>
      </c>
      <c r="C43" t="s">
        <v>29</v>
      </c>
      <c r="D43">
        <v>40</v>
      </c>
      <c r="E43" t="s">
        <v>24</v>
      </c>
      <c r="F43" t="s">
        <v>25</v>
      </c>
      <c r="H43" t="s">
        <v>27</v>
      </c>
      <c r="I43" t="s">
        <v>20</v>
      </c>
      <c r="J43" t="s">
        <v>21</v>
      </c>
      <c r="L43" t="s">
        <v>51</v>
      </c>
      <c r="M43" t="s">
        <v>22</v>
      </c>
      <c r="N43" t="s">
        <v>23</v>
      </c>
      <c r="P43">
        <v>3</v>
      </c>
      <c r="Q43">
        <f t="shared" si="1"/>
        <v>1</v>
      </c>
      <c r="R43">
        <f>SENSEX!G16</f>
        <v>138</v>
      </c>
      <c r="S43">
        <f t="shared" si="2"/>
        <v>135</v>
      </c>
    </row>
    <row r="44" spans="1:19" x14ac:dyDescent="0.35">
      <c r="A44" t="str">
        <f>SENSEX!Q17</f>
        <v>SENSEX25D1884000PE</v>
      </c>
      <c r="B44" t="s">
        <v>26</v>
      </c>
      <c r="C44" t="s">
        <v>29</v>
      </c>
      <c r="D44">
        <v>40</v>
      </c>
      <c r="E44" t="s">
        <v>24</v>
      </c>
      <c r="F44" t="s">
        <v>25</v>
      </c>
      <c r="H44" t="s">
        <v>27</v>
      </c>
      <c r="I44" t="s">
        <v>20</v>
      </c>
      <c r="J44" t="s">
        <v>21</v>
      </c>
      <c r="L44" t="s">
        <v>51</v>
      </c>
      <c r="M44" t="s">
        <v>22</v>
      </c>
      <c r="N44" t="s">
        <v>23</v>
      </c>
      <c r="P44">
        <v>3</v>
      </c>
      <c r="Q44">
        <f t="shared" si="1"/>
        <v>1</v>
      </c>
      <c r="R44">
        <f>SENSEX!G17</f>
        <v>68</v>
      </c>
      <c r="S44">
        <f t="shared" si="2"/>
        <v>65</v>
      </c>
    </row>
    <row r="45" spans="1:19" x14ac:dyDescent="0.35">
      <c r="A45" t="str">
        <f>SENSEX!Q18</f>
        <v>SENSEX25D1883800PE</v>
      </c>
      <c r="B45" t="s">
        <v>26</v>
      </c>
      <c r="C45" t="s">
        <v>29</v>
      </c>
      <c r="D45">
        <v>40</v>
      </c>
      <c r="E45" t="s">
        <v>24</v>
      </c>
      <c r="F45" t="s">
        <v>25</v>
      </c>
      <c r="H45" t="s">
        <v>27</v>
      </c>
      <c r="I45" t="s">
        <v>20</v>
      </c>
      <c r="J45" t="s">
        <v>21</v>
      </c>
      <c r="L45" t="s">
        <v>51</v>
      </c>
      <c r="M45" t="s">
        <v>22</v>
      </c>
      <c r="N45" t="s">
        <v>23</v>
      </c>
      <c r="P45">
        <v>3</v>
      </c>
      <c r="Q45">
        <f t="shared" si="1"/>
        <v>1</v>
      </c>
      <c r="R45">
        <f>SENSEX!G18</f>
        <v>138</v>
      </c>
      <c r="S45">
        <f t="shared" si="2"/>
        <v>135</v>
      </c>
    </row>
    <row r="46" spans="1:19" x14ac:dyDescent="0.35">
      <c r="A46" t="str">
        <f>SENSEX!Q19</f>
        <v>SENSEX25D1883800CE</v>
      </c>
      <c r="B46" t="s">
        <v>26</v>
      </c>
      <c r="C46" t="s">
        <v>29</v>
      </c>
      <c r="D46">
        <v>40</v>
      </c>
      <c r="E46" t="s">
        <v>24</v>
      </c>
      <c r="F46" t="s">
        <v>25</v>
      </c>
      <c r="H46" t="s">
        <v>27</v>
      </c>
      <c r="I46" t="s">
        <v>20</v>
      </c>
      <c r="J46" t="s">
        <v>21</v>
      </c>
      <c r="L46" t="s">
        <v>51</v>
      </c>
      <c r="M46" t="s">
        <v>22</v>
      </c>
      <c r="N46" t="s">
        <v>23</v>
      </c>
      <c r="P46">
        <v>3</v>
      </c>
      <c r="Q46">
        <f t="shared" si="1"/>
        <v>1</v>
      </c>
      <c r="R46">
        <f>SENSEX!G19</f>
        <v>238</v>
      </c>
      <c r="S46">
        <f t="shared" si="2"/>
        <v>235</v>
      </c>
    </row>
    <row r="47" spans="1:19" x14ac:dyDescent="0.35">
      <c r="A47" t="str">
        <f>SENSEX!Q20</f>
        <v>SENSEX25D1883900CE</v>
      </c>
      <c r="B47" t="s">
        <v>26</v>
      </c>
      <c r="C47" t="s">
        <v>29</v>
      </c>
      <c r="D47">
        <v>40</v>
      </c>
      <c r="E47" t="s">
        <v>24</v>
      </c>
      <c r="F47" t="s">
        <v>25</v>
      </c>
      <c r="H47" t="s">
        <v>27</v>
      </c>
      <c r="I47" t="s">
        <v>20</v>
      </c>
      <c r="J47" t="s">
        <v>21</v>
      </c>
      <c r="L47" t="s">
        <v>51</v>
      </c>
      <c r="M47" t="s">
        <v>22</v>
      </c>
      <c r="N47" t="s">
        <v>23</v>
      </c>
      <c r="P47">
        <v>3</v>
      </c>
      <c r="Q47">
        <f t="shared" si="1"/>
        <v>1</v>
      </c>
      <c r="R47">
        <f>SENSEX!G20</f>
        <v>228</v>
      </c>
      <c r="S47">
        <f t="shared" si="2"/>
        <v>225</v>
      </c>
    </row>
    <row r="48" spans="1:19" x14ac:dyDescent="0.35">
      <c r="A48" t="str">
        <f>SENSEX!Q21</f>
        <v>SENSEX25D1884000CE</v>
      </c>
      <c r="B48" t="s">
        <v>26</v>
      </c>
      <c r="C48" t="s">
        <v>29</v>
      </c>
      <c r="D48">
        <v>40</v>
      </c>
      <c r="E48" t="s">
        <v>24</v>
      </c>
      <c r="F48" t="s">
        <v>25</v>
      </c>
      <c r="H48" t="s">
        <v>27</v>
      </c>
      <c r="I48" t="s">
        <v>20</v>
      </c>
      <c r="J48" t="s">
        <v>21</v>
      </c>
      <c r="L48" t="s">
        <v>51</v>
      </c>
      <c r="M48" t="s">
        <v>22</v>
      </c>
      <c r="N48" t="s">
        <v>23</v>
      </c>
      <c r="P48">
        <v>3</v>
      </c>
      <c r="Q48">
        <f t="shared" si="1"/>
        <v>1</v>
      </c>
      <c r="R48">
        <f>SENSEX!G21</f>
        <v>168</v>
      </c>
      <c r="S48">
        <f t="shared" si="2"/>
        <v>165</v>
      </c>
    </row>
    <row r="49" spans="1:19" x14ac:dyDescent="0.35">
      <c r="A49" t="str">
        <f>SENSEX!Q22</f>
        <v>SENSEX25D1884300CE</v>
      </c>
      <c r="B49" t="s">
        <v>26</v>
      </c>
      <c r="C49" t="s">
        <v>29</v>
      </c>
      <c r="D49">
        <v>40</v>
      </c>
      <c r="E49" t="s">
        <v>24</v>
      </c>
      <c r="F49" t="s">
        <v>25</v>
      </c>
      <c r="H49" t="s">
        <v>27</v>
      </c>
      <c r="I49" t="s">
        <v>20</v>
      </c>
      <c r="J49" t="s">
        <v>21</v>
      </c>
      <c r="L49" t="s">
        <v>51</v>
      </c>
      <c r="M49" t="s">
        <v>22</v>
      </c>
      <c r="N49" t="s">
        <v>23</v>
      </c>
      <c r="P49">
        <v>3</v>
      </c>
      <c r="Q49">
        <f t="shared" si="1"/>
        <v>1</v>
      </c>
      <c r="R49">
        <f>SENSEX!G22</f>
        <v>138</v>
      </c>
      <c r="S49">
        <f t="shared" si="2"/>
        <v>135</v>
      </c>
    </row>
    <row r="50" spans="1:19" x14ac:dyDescent="0.35">
      <c r="A50" t="str">
        <f>SENSEX!Q23</f>
        <v>SENSEX25D1884600CE</v>
      </c>
      <c r="B50" t="s">
        <v>26</v>
      </c>
      <c r="C50" t="s">
        <v>29</v>
      </c>
      <c r="D50">
        <v>40</v>
      </c>
      <c r="E50" t="s">
        <v>24</v>
      </c>
      <c r="F50" t="s">
        <v>25</v>
      </c>
      <c r="H50" t="s">
        <v>27</v>
      </c>
      <c r="I50" t="s">
        <v>20</v>
      </c>
      <c r="J50" t="s">
        <v>21</v>
      </c>
      <c r="L50" t="s">
        <v>51</v>
      </c>
      <c r="M50" t="s">
        <v>22</v>
      </c>
      <c r="N50" t="s">
        <v>23</v>
      </c>
      <c r="P50">
        <v>3</v>
      </c>
      <c r="Q50">
        <f t="shared" si="1"/>
        <v>1</v>
      </c>
      <c r="R50">
        <f>SENSEX!G23</f>
        <v>68</v>
      </c>
      <c r="S50">
        <f t="shared" si="2"/>
        <v>65</v>
      </c>
    </row>
    <row r="51" spans="1:19" x14ac:dyDescent="0.35">
      <c r="A51" t="str">
        <f>SENSEX!Q24</f>
        <v>SENSEX25D1884800CE</v>
      </c>
      <c r="B51" t="s">
        <v>26</v>
      </c>
      <c r="C51" t="s">
        <v>29</v>
      </c>
      <c r="D51">
        <v>40</v>
      </c>
      <c r="E51" t="s">
        <v>24</v>
      </c>
      <c r="F51" t="s">
        <v>25</v>
      </c>
      <c r="H51" t="s">
        <v>27</v>
      </c>
      <c r="I51" t="s">
        <v>20</v>
      </c>
      <c r="J51" t="s">
        <v>21</v>
      </c>
      <c r="L51" t="s">
        <v>51</v>
      </c>
      <c r="M51" t="s">
        <v>22</v>
      </c>
      <c r="N51" t="s">
        <v>23</v>
      </c>
      <c r="P51">
        <v>3</v>
      </c>
      <c r="Q51">
        <f t="shared" si="1"/>
        <v>1</v>
      </c>
      <c r="R51">
        <f>SENSEX!G24</f>
        <v>138</v>
      </c>
      <c r="S51">
        <f t="shared" si="2"/>
        <v>135</v>
      </c>
    </row>
    <row r="52" spans="1:19" x14ac:dyDescent="0.35">
      <c r="A52" t="str">
        <f>SENSEX!Q25</f>
        <v>SENSEX25D1885800PE</v>
      </c>
      <c r="B52" t="s">
        <v>26</v>
      </c>
      <c r="C52" t="s">
        <v>29</v>
      </c>
      <c r="D52">
        <v>40</v>
      </c>
      <c r="E52" t="s">
        <v>24</v>
      </c>
      <c r="F52" t="s">
        <v>25</v>
      </c>
      <c r="H52" t="s">
        <v>27</v>
      </c>
      <c r="I52" t="s">
        <v>20</v>
      </c>
      <c r="J52" t="s">
        <v>21</v>
      </c>
      <c r="L52" t="s">
        <v>51</v>
      </c>
      <c r="M52" t="s">
        <v>22</v>
      </c>
      <c r="N52" t="s">
        <v>23</v>
      </c>
      <c r="P52">
        <v>3</v>
      </c>
      <c r="Q52">
        <f t="shared" si="1"/>
        <v>1</v>
      </c>
      <c r="R52">
        <f>SENSEX!G25</f>
        <v>238</v>
      </c>
      <c r="S52">
        <f t="shared" si="2"/>
        <v>235</v>
      </c>
    </row>
    <row r="53" spans="1:19" x14ac:dyDescent="0.35">
      <c r="A53" t="str">
        <f>SENSEX!Q26</f>
        <v>SENSEX25D1885700PE</v>
      </c>
      <c r="B53" t="s">
        <v>26</v>
      </c>
      <c r="C53" t="s">
        <v>29</v>
      </c>
      <c r="D53">
        <v>40</v>
      </c>
      <c r="E53" t="s">
        <v>24</v>
      </c>
      <c r="F53" t="s">
        <v>25</v>
      </c>
      <c r="H53" t="s">
        <v>27</v>
      </c>
      <c r="I53" t="s">
        <v>20</v>
      </c>
      <c r="J53" t="s">
        <v>21</v>
      </c>
      <c r="L53" t="s">
        <v>51</v>
      </c>
      <c r="M53" t="s">
        <v>22</v>
      </c>
      <c r="N53" t="s">
        <v>23</v>
      </c>
      <c r="P53">
        <v>3</v>
      </c>
      <c r="Q53">
        <f t="shared" si="1"/>
        <v>1</v>
      </c>
      <c r="R53">
        <f>SENSEX!G26</f>
        <v>228</v>
      </c>
      <c r="S53">
        <f t="shared" si="2"/>
        <v>225</v>
      </c>
    </row>
    <row r="54" spans="1:19" x14ac:dyDescent="0.35">
      <c r="A54" t="str">
        <f>SENSEX!Q27</f>
        <v>SENSEX25D1885600PE</v>
      </c>
      <c r="B54" t="s">
        <v>26</v>
      </c>
      <c r="C54" t="s">
        <v>29</v>
      </c>
      <c r="D54">
        <v>40</v>
      </c>
      <c r="E54" t="s">
        <v>24</v>
      </c>
      <c r="F54" t="s">
        <v>25</v>
      </c>
      <c r="H54" t="s">
        <v>27</v>
      </c>
      <c r="I54" t="s">
        <v>20</v>
      </c>
      <c r="J54" t="s">
        <v>21</v>
      </c>
      <c r="L54" t="s">
        <v>51</v>
      </c>
      <c r="M54" t="s">
        <v>22</v>
      </c>
      <c r="N54" t="s">
        <v>23</v>
      </c>
      <c r="P54">
        <v>3</v>
      </c>
      <c r="Q54">
        <f t="shared" si="1"/>
        <v>1</v>
      </c>
      <c r="R54">
        <f>SENSEX!G27</f>
        <v>168</v>
      </c>
      <c r="S54">
        <f t="shared" si="2"/>
        <v>165</v>
      </c>
    </row>
    <row r="55" spans="1:19" x14ac:dyDescent="0.35">
      <c r="A55" t="str">
        <f>SENSEX!Q28</f>
        <v>SENSEX25D1885300PE</v>
      </c>
      <c r="B55" t="s">
        <v>26</v>
      </c>
      <c r="C55" t="s">
        <v>29</v>
      </c>
      <c r="D55">
        <v>40</v>
      </c>
      <c r="E55" t="s">
        <v>24</v>
      </c>
      <c r="F55" t="s">
        <v>25</v>
      </c>
      <c r="H55" t="s">
        <v>27</v>
      </c>
      <c r="I55" t="s">
        <v>20</v>
      </c>
      <c r="J55" t="s">
        <v>21</v>
      </c>
      <c r="L55" t="s">
        <v>51</v>
      </c>
      <c r="M55" t="s">
        <v>22</v>
      </c>
      <c r="N55" t="s">
        <v>23</v>
      </c>
      <c r="P55">
        <v>3</v>
      </c>
      <c r="Q55">
        <f t="shared" si="1"/>
        <v>1</v>
      </c>
      <c r="R55">
        <f>SENSEX!G28</f>
        <v>138</v>
      </c>
      <c r="S55">
        <f t="shared" si="2"/>
        <v>135</v>
      </c>
    </row>
    <row r="56" spans="1:19" x14ac:dyDescent="0.35">
      <c r="A56" t="str">
        <f>SENSEX!Q29</f>
        <v>SENSEX25D1885000PE</v>
      </c>
      <c r="B56" t="s">
        <v>26</v>
      </c>
      <c r="C56" t="s">
        <v>29</v>
      </c>
      <c r="D56">
        <v>40</v>
      </c>
      <c r="E56" t="s">
        <v>24</v>
      </c>
      <c r="F56" t="s">
        <v>25</v>
      </c>
      <c r="H56" t="s">
        <v>27</v>
      </c>
      <c r="I56" t="s">
        <v>20</v>
      </c>
      <c r="J56" t="s">
        <v>21</v>
      </c>
      <c r="L56" t="s">
        <v>51</v>
      </c>
      <c r="M56" t="s">
        <v>22</v>
      </c>
      <c r="N56" t="s">
        <v>23</v>
      </c>
      <c r="P56">
        <v>3</v>
      </c>
      <c r="Q56">
        <f t="shared" si="1"/>
        <v>1</v>
      </c>
      <c r="R56">
        <f>SENSEX!G29</f>
        <v>68</v>
      </c>
      <c r="S56">
        <f t="shared" si="2"/>
        <v>65</v>
      </c>
    </row>
    <row r="57" spans="1:19" x14ac:dyDescent="0.35">
      <c r="A57" t="str">
        <f>SENSEX!Q30</f>
        <v>SENSEX25D1884800PE</v>
      </c>
      <c r="B57" t="s">
        <v>26</v>
      </c>
      <c r="C57" t="s">
        <v>29</v>
      </c>
      <c r="D57">
        <v>40</v>
      </c>
      <c r="E57" t="s">
        <v>24</v>
      </c>
      <c r="F57" t="s">
        <v>25</v>
      </c>
      <c r="H57" t="s">
        <v>27</v>
      </c>
      <c r="I57" t="s">
        <v>20</v>
      </c>
      <c r="J57" t="s">
        <v>21</v>
      </c>
      <c r="L57" t="s">
        <v>51</v>
      </c>
      <c r="M57" t="s">
        <v>22</v>
      </c>
      <c r="N57" t="s">
        <v>23</v>
      </c>
      <c r="P57">
        <v>3</v>
      </c>
      <c r="Q57">
        <f t="shared" si="1"/>
        <v>1</v>
      </c>
      <c r="R57">
        <f>SENSEX!G30</f>
        <v>138</v>
      </c>
      <c r="S57">
        <f t="shared" si="2"/>
        <v>135</v>
      </c>
    </row>
    <row r="58" spans="1:19" x14ac:dyDescent="0.35">
      <c r="A58" t="str">
        <f>SENSEX!Q3</f>
        <v>SENSEX25D1884600CE</v>
      </c>
      <c r="B58" t="s">
        <v>26</v>
      </c>
      <c r="C58" t="s">
        <v>29</v>
      </c>
      <c r="D58">
        <v>20</v>
      </c>
      <c r="E58" t="s">
        <v>24</v>
      </c>
      <c r="F58" t="s">
        <v>25</v>
      </c>
      <c r="H58" t="s">
        <v>27</v>
      </c>
      <c r="I58" t="s">
        <v>20</v>
      </c>
      <c r="J58" t="s">
        <v>21</v>
      </c>
      <c r="L58" t="s">
        <v>51</v>
      </c>
      <c r="M58" t="s">
        <v>22</v>
      </c>
      <c r="N58" t="s">
        <v>23</v>
      </c>
      <c r="P58">
        <v>3</v>
      </c>
      <c r="Q58">
        <f>P58-2</f>
        <v>1</v>
      </c>
      <c r="R58">
        <f>SENSEX!T3</f>
        <v>288</v>
      </c>
      <c r="S58">
        <f>R58-3</f>
        <v>285</v>
      </c>
    </row>
    <row r="59" spans="1:19" x14ac:dyDescent="0.35">
      <c r="A59" t="str">
        <f>SENSEX!Q4</f>
        <v>SENSEX25D1884700CE</v>
      </c>
      <c r="B59" t="s">
        <v>26</v>
      </c>
      <c r="C59" t="s">
        <v>29</v>
      </c>
      <c r="D59">
        <v>20</v>
      </c>
      <c r="E59" t="s">
        <v>24</v>
      </c>
      <c r="F59" t="s">
        <v>25</v>
      </c>
      <c r="H59" t="s">
        <v>27</v>
      </c>
      <c r="I59" t="s">
        <v>20</v>
      </c>
      <c r="J59" t="s">
        <v>21</v>
      </c>
      <c r="L59" t="s">
        <v>51</v>
      </c>
      <c r="M59" t="s">
        <v>22</v>
      </c>
      <c r="N59" t="s">
        <v>23</v>
      </c>
      <c r="P59">
        <v>3</v>
      </c>
      <c r="Q59">
        <f t="shared" ref="Q59:Q85" si="3">P59-2</f>
        <v>1</v>
      </c>
      <c r="R59">
        <f>SENSEX!T4</f>
        <v>288</v>
      </c>
      <c r="S59">
        <f t="shared" ref="S59:S85" si="4">R59-3</f>
        <v>285</v>
      </c>
    </row>
    <row r="60" spans="1:19" x14ac:dyDescent="0.35">
      <c r="A60" t="str">
        <f>SENSEX!Q5</f>
        <v>SENSEX25D1884800CE</v>
      </c>
      <c r="B60" t="s">
        <v>26</v>
      </c>
      <c r="C60" t="s">
        <v>29</v>
      </c>
      <c r="D60">
        <v>20</v>
      </c>
      <c r="E60" t="s">
        <v>24</v>
      </c>
      <c r="F60" t="s">
        <v>25</v>
      </c>
      <c r="H60" t="s">
        <v>27</v>
      </c>
      <c r="I60" t="s">
        <v>20</v>
      </c>
      <c r="J60" t="s">
        <v>21</v>
      </c>
      <c r="L60" t="s">
        <v>51</v>
      </c>
      <c r="M60" t="s">
        <v>22</v>
      </c>
      <c r="N60" t="s">
        <v>23</v>
      </c>
      <c r="P60">
        <v>3</v>
      </c>
      <c r="Q60">
        <f t="shared" si="3"/>
        <v>1</v>
      </c>
      <c r="R60">
        <f>SENSEX!T5</f>
        <v>288</v>
      </c>
      <c r="S60">
        <f t="shared" si="4"/>
        <v>285</v>
      </c>
    </row>
    <row r="61" spans="1:19" x14ac:dyDescent="0.35">
      <c r="A61" t="str">
        <f>SENSEX!Q6</f>
        <v>SENSEX25D1884900CE</v>
      </c>
      <c r="B61" t="s">
        <v>26</v>
      </c>
      <c r="C61" t="s">
        <v>29</v>
      </c>
      <c r="D61">
        <v>20</v>
      </c>
      <c r="E61" t="s">
        <v>24</v>
      </c>
      <c r="F61" t="s">
        <v>25</v>
      </c>
      <c r="H61" t="s">
        <v>27</v>
      </c>
      <c r="I61" t="s">
        <v>20</v>
      </c>
      <c r="J61" t="s">
        <v>21</v>
      </c>
      <c r="L61" t="s">
        <v>51</v>
      </c>
      <c r="M61" t="s">
        <v>22</v>
      </c>
      <c r="N61" t="s">
        <v>23</v>
      </c>
      <c r="P61">
        <v>3</v>
      </c>
      <c r="Q61">
        <f t="shared" si="3"/>
        <v>1</v>
      </c>
      <c r="R61">
        <f>SENSEX!T6</f>
        <v>268</v>
      </c>
      <c r="S61">
        <f t="shared" si="4"/>
        <v>265</v>
      </c>
    </row>
    <row r="62" spans="1:19" x14ac:dyDescent="0.35">
      <c r="A62" t="str">
        <f>SENSEX!Q7</f>
        <v>SENSEX25D1885000CE</v>
      </c>
      <c r="B62" t="s">
        <v>26</v>
      </c>
      <c r="C62" t="s">
        <v>29</v>
      </c>
      <c r="D62">
        <v>20</v>
      </c>
      <c r="E62" t="s">
        <v>24</v>
      </c>
      <c r="F62" t="s">
        <v>25</v>
      </c>
      <c r="H62" t="s">
        <v>27</v>
      </c>
      <c r="I62" t="s">
        <v>20</v>
      </c>
      <c r="J62" t="s">
        <v>21</v>
      </c>
      <c r="L62" t="s">
        <v>51</v>
      </c>
      <c r="M62" t="s">
        <v>22</v>
      </c>
      <c r="N62" t="s">
        <v>23</v>
      </c>
      <c r="P62">
        <v>3</v>
      </c>
      <c r="Q62">
        <f t="shared" si="3"/>
        <v>1</v>
      </c>
      <c r="R62">
        <f>SENSEX!T7</f>
        <v>298</v>
      </c>
      <c r="S62">
        <f t="shared" si="4"/>
        <v>295</v>
      </c>
    </row>
    <row r="63" spans="1:19" x14ac:dyDescent="0.35">
      <c r="A63" t="str">
        <f>SENSEX!Q8</f>
        <v>SENSEX25D1885300CE</v>
      </c>
      <c r="B63" t="s">
        <v>26</v>
      </c>
      <c r="C63" t="s">
        <v>29</v>
      </c>
      <c r="D63">
        <v>20</v>
      </c>
      <c r="E63" t="s">
        <v>24</v>
      </c>
      <c r="F63" t="s">
        <v>25</v>
      </c>
      <c r="H63" t="s">
        <v>27</v>
      </c>
      <c r="I63" t="s">
        <v>20</v>
      </c>
      <c r="J63" t="s">
        <v>21</v>
      </c>
      <c r="L63" t="s">
        <v>51</v>
      </c>
      <c r="M63" t="s">
        <v>22</v>
      </c>
      <c r="N63" t="s">
        <v>23</v>
      </c>
      <c r="P63">
        <v>3</v>
      </c>
      <c r="Q63">
        <f t="shared" si="3"/>
        <v>1</v>
      </c>
      <c r="R63">
        <f>SENSEX!T8</f>
        <v>168</v>
      </c>
      <c r="S63">
        <f t="shared" si="4"/>
        <v>165</v>
      </c>
    </row>
    <row r="64" spans="1:19" x14ac:dyDescent="0.35">
      <c r="A64" t="str">
        <f>SENSEX!Q9</f>
        <v>SENSEX25D1885600CE</v>
      </c>
      <c r="B64" t="s">
        <v>26</v>
      </c>
      <c r="C64" t="s">
        <v>29</v>
      </c>
      <c r="D64">
        <v>20</v>
      </c>
      <c r="E64" t="s">
        <v>24</v>
      </c>
      <c r="F64" t="s">
        <v>25</v>
      </c>
      <c r="H64" t="s">
        <v>27</v>
      </c>
      <c r="I64" t="s">
        <v>20</v>
      </c>
      <c r="J64" t="s">
        <v>21</v>
      </c>
      <c r="L64" t="s">
        <v>51</v>
      </c>
      <c r="M64" t="s">
        <v>22</v>
      </c>
      <c r="N64" t="s">
        <v>23</v>
      </c>
      <c r="P64">
        <v>3</v>
      </c>
      <c r="Q64">
        <f t="shared" si="3"/>
        <v>1</v>
      </c>
      <c r="R64">
        <f>SENSEX!T9</f>
        <v>88</v>
      </c>
      <c r="S64">
        <f t="shared" si="4"/>
        <v>85</v>
      </c>
    </row>
    <row r="65" spans="1:19" x14ac:dyDescent="0.35">
      <c r="A65" t="str">
        <f>SENSEX!Q10</f>
        <v>SENSEX25D1885800CE</v>
      </c>
      <c r="B65" t="s">
        <v>26</v>
      </c>
      <c r="C65" t="s">
        <v>29</v>
      </c>
      <c r="D65">
        <v>20</v>
      </c>
      <c r="E65" t="s">
        <v>24</v>
      </c>
      <c r="F65" t="s">
        <v>25</v>
      </c>
      <c r="H65" t="s">
        <v>27</v>
      </c>
      <c r="I65" t="s">
        <v>20</v>
      </c>
      <c r="J65" t="s">
        <v>21</v>
      </c>
      <c r="L65" t="s">
        <v>51</v>
      </c>
      <c r="M65" t="s">
        <v>22</v>
      </c>
      <c r="N65" t="s">
        <v>23</v>
      </c>
      <c r="P65">
        <v>3</v>
      </c>
      <c r="Q65">
        <f t="shared" si="3"/>
        <v>1</v>
      </c>
      <c r="R65">
        <f>SENSEX!T10</f>
        <v>168</v>
      </c>
      <c r="S65">
        <f t="shared" si="4"/>
        <v>165</v>
      </c>
    </row>
    <row r="66" spans="1:19" x14ac:dyDescent="0.35">
      <c r="A66" t="str">
        <f>SENSEX!Q11</f>
        <v>SENSEX25D1885000PE</v>
      </c>
      <c r="B66" t="s">
        <v>26</v>
      </c>
      <c r="C66" t="s">
        <v>29</v>
      </c>
      <c r="D66">
        <v>20</v>
      </c>
      <c r="E66" t="s">
        <v>24</v>
      </c>
      <c r="F66" t="s">
        <v>25</v>
      </c>
      <c r="H66" t="s">
        <v>27</v>
      </c>
      <c r="I66" t="s">
        <v>20</v>
      </c>
      <c r="J66" t="s">
        <v>21</v>
      </c>
      <c r="L66" t="s">
        <v>51</v>
      </c>
      <c r="M66" t="s">
        <v>22</v>
      </c>
      <c r="N66" t="s">
        <v>23</v>
      </c>
      <c r="P66">
        <v>3</v>
      </c>
      <c r="Q66">
        <f t="shared" si="3"/>
        <v>1</v>
      </c>
      <c r="R66">
        <f>SENSEX!T11</f>
        <v>288</v>
      </c>
      <c r="S66">
        <f t="shared" si="4"/>
        <v>285</v>
      </c>
    </row>
    <row r="67" spans="1:19" x14ac:dyDescent="0.35">
      <c r="A67" t="str">
        <f>SENSEX!Q12</f>
        <v>SENSEX25D1884900PE</v>
      </c>
      <c r="B67" t="s">
        <v>26</v>
      </c>
      <c r="C67" t="s">
        <v>29</v>
      </c>
      <c r="D67">
        <v>20</v>
      </c>
      <c r="E67" t="s">
        <v>24</v>
      </c>
      <c r="F67" t="s">
        <v>25</v>
      </c>
      <c r="H67" t="s">
        <v>27</v>
      </c>
      <c r="I67" t="s">
        <v>20</v>
      </c>
      <c r="J67" t="s">
        <v>21</v>
      </c>
      <c r="L67" t="s">
        <v>51</v>
      </c>
      <c r="M67" t="s">
        <v>22</v>
      </c>
      <c r="N67" t="s">
        <v>23</v>
      </c>
      <c r="P67">
        <v>3</v>
      </c>
      <c r="Q67">
        <f t="shared" si="3"/>
        <v>1</v>
      </c>
      <c r="R67">
        <f>SENSEX!T12</f>
        <v>288</v>
      </c>
      <c r="S67">
        <f t="shared" si="4"/>
        <v>285</v>
      </c>
    </row>
    <row r="68" spans="1:19" x14ac:dyDescent="0.35">
      <c r="A68" t="str">
        <f>SENSEX!Q13</f>
        <v>SENSEX25D1884800PE</v>
      </c>
      <c r="B68" t="s">
        <v>26</v>
      </c>
      <c r="C68" t="s">
        <v>29</v>
      </c>
      <c r="D68">
        <v>20</v>
      </c>
      <c r="E68" t="s">
        <v>24</v>
      </c>
      <c r="F68" t="s">
        <v>25</v>
      </c>
      <c r="H68" t="s">
        <v>27</v>
      </c>
      <c r="I68" t="s">
        <v>20</v>
      </c>
      <c r="J68" t="s">
        <v>21</v>
      </c>
      <c r="L68" t="s">
        <v>51</v>
      </c>
      <c r="M68" t="s">
        <v>22</v>
      </c>
      <c r="N68" t="s">
        <v>23</v>
      </c>
      <c r="P68">
        <v>3</v>
      </c>
      <c r="Q68">
        <f t="shared" si="3"/>
        <v>1</v>
      </c>
      <c r="R68">
        <f>SENSEX!T13</f>
        <v>288</v>
      </c>
      <c r="S68">
        <f t="shared" si="4"/>
        <v>285</v>
      </c>
    </row>
    <row r="69" spans="1:19" x14ac:dyDescent="0.35">
      <c r="A69" t="str">
        <f>SENSEX!Q14</f>
        <v>SENSEX25D1884700PE</v>
      </c>
      <c r="B69" t="s">
        <v>26</v>
      </c>
      <c r="C69" t="s">
        <v>29</v>
      </c>
      <c r="D69">
        <v>20</v>
      </c>
      <c r="E69" t="s">
        <v>24</v>
      </c>
      <c r="F69" t="s">
        <v>25</v>
      </c>
      <c r="H69" t="s">
        <v>27</v>
      </c>
      <c r="I69" t="s">
        <v>20</v>
      </c>
      <c r="J69" t="s">
        <v>21</v>
      </c>
      <c r="L69" t="s">
        <v>51</v>
      </c>
      <c r="M69" t="s">
        <v>22</v>
      </c>
      <c r="N69" t="s">
        <v>23</v>
      </c>
      <c r="P69">
        <v>3</v>
      </c>
      <c r="Q69">
        <f t="shared" si="3"/>
        <v>1</v>
      </c>
      <c r="R69">
        <f>SENSEX!T14</f>
        <v>268</v>
      </c>
      <c r="S69">
        <f t="shared" si="4"/>
        <v>265</v>
      </c>
    </row>
    <row r="70" spans="1:19" x14ac:dyDescent="0.35">
      <c r="A70" t="str">
        <f>SENSEX!Q15</f>
        <v>SENSEX25D1884600PE</v>
      </c>
      <c r="B70" t="s">
        <v>26</v>
      </c>
      <c r="C70" t="s">
        <v>29</v>
      </c>
      <c r="D70">
        <v>20</v>
      </c>
      <c r="E70" t="s">
        <v>24</v>
      </c>
      <c r="F70" t="s">
        <v>25</v>
      </c>
      <c r="H70" t="s">
        <v>27</v>
      </c>
      <c r="I70" t="s">
        <v>20</v>
      </c>
      <c r="J70" t="s">
        <v>21</v>
      </c>
      <c r="L70" t="s">
        <v>51</v>
      </c>
      <c r="M70" t="s">
        <v>22</v>
      </c>
      <c r="N70" t="s">
        <v>23</v>
      </c>
      <c r="P70">
        <v>3</v>
      </c>
      <c r="Q70">
        <f t="shared" si="3"/>
        <v>1</v>
      </c>
      <c r="R70">
        <f>SENSEX!T15</f>
        <v>298</v>
      </c>
      <c r="S70">
        <f t="shared" si="4"/>
        <v>295</v>
      </c>
    </row>
    <row r="71" spans="1:19" x14ac:dyDescent="0.35">
      <c r="A71" t="str">
        <f>SENSEX!Q16</f>
        <v>SENSEX25D1884300PE</v>
      </c>
      <c r="B71" t="s">
        <v>26</v>
      </c>
      <c r="C71" t="s">
        <v>29</v>
      </c>
      <c r="D71">
        <v>20</v>
      </c>
      <c r="E71" t="s">
        <v>24</v>
      </c>
      <c r="F71" t="s">
        <v>25</v>
      </c>
      <c r="H71" t="s">
        <v>27</v>
      </c>
      <c r="I71" t="s">
        <v>20</v>
      </c>
      <c r="J71" t="s">
        <v>21</v>
      </c>
      <c r="L71" t="s">
        <v>51</v>
      </c>
      <c r="M71" t="s">
        <v>22</v>
      </c>
      <c r="N71" t="s">
        <v>23</v>
      </c>
      <c r="P71">
        <v>3</v>
      </c>
      <c r="Q71">
        <f t="shared" si="3"/>
        <v>1</v>
      </c>
      <c r="R71">
        <f>SENSEX!T16</f>
        <v>168</v>
      </c>
      <c r="S71">
        <f t="shared" si="4"/>
        <v>165</v>
      </c>
    </row>
    <row r="72" spans="1:19" x14ac:dyDescent="0.35">
      <c r="A72" t="str">
        <f>SENSEX!Q17</f>
        <v>SENSEX25D1884000PE</v>
      </c>
      <c r="B72" t="s">
        <v>26</v>
      </c>
      <c r="C72" t="s">
        <v>29</v>
      </c>
      <c r="D72">
        <v>20</v>
      </c>
      <c r="E72" t="s">
        <v>24</v>
      </c>
      <c r="F72" t="s">
        <v>25</v>
      </c>
      <c r="H72" t="s">
        <v>27</v>
      </c>
      <c r="I72" t="s">
        <v>20</v>
      </c>
      <c r="J72" t="s">
        <v>21</v>
      </c>
      <c r="L72" t="s">
        <v>51</v>
      </c>
      <c r="M72" t="s">
        <v>22</v>
      </c>
      <c r="N72" t="s">
        <v>23</v>
      </c>
      <c r="P72">
        <v>3</v>
      </c>
      <c r="Q72">
        <f t="shared" si="3"/>
        <v>1</v>
      </c>
      <c r="R72">
        <f>SENSEX!T17</f>
        <v>88</v>
      </c>
      <c r="S72">
        <f t="shared" si="4"/>
        <v>85</v>
      </c>
    </row>
    <row r="73" spans="1:19" x14ac:dyDescent="0.35">
      <c r="A73" t="str">
        <f>SENSEX!Q18</f>
        <v>SENSEX25D1883800PE</v>
      </c>
      <c r="B73" t="s">
        <v>26</v>
      </c>
      <c r="C73" t="s">
        <v>29</v>
      </c>
      <c r="D73">
        <v>20</v>
      </c>
      <c r="E73" t="s">
        <v>24</v>
      </c>
      <c r="F73" t="s">
        <v>25</v>
      </c>
      <c r="H73" t="s">
        <v>27</v>
      </c>
      <c r="I73" t="s">
        <v>20</v>
      </c>
      <c r="J73" t="s">
        <v>21</v>
      </c>
      <c r="L73" t="s">
        <v>51</v>
      </c>
      <c r="M73" t="s">
        <v>22</v>
      </c>
      <c r="N73" t="s">
        <v>23</v>
      </c>
      <c r="P73">
        <v>3</v>
      </c>
      <c r="Q73">
        <f t="shared" si="3"/>
        <v>1</v>
      </c>
      <c r="R73">
        <f>SENSEX!T18</f>
        <v>168</v>
      </c>
      <c r="S73">
        <f t="shared" si="4"/>
        <v>165</v>
      </c>
    </row>
    <row r="74" spans="1:19" x14ac:dyDescent="0.35">
      <c r="A74" t="str">
        <f>SENSEX!Q19</f>
        <v>SENSEX25D1883800CE</v>
      </c>
      <c r="B74" t="s">
        <v>26</v>
      </c>
      <c r="C74" t="s">
        <v>29</v>
      </c>
      <c r="D74">
        <v>20</v>
      </c>
      <c r="E74" t="s">
        <v>24</v>
      </c>
      <c r="F74" t="s">
        <v>25</v>
      </c>
      <c r="H74" t="s">
        <v>27</v>
      </c>
      <c r="I74" t="s">
        <v>20</v>
      </c>
      <c r="J74" t="s">
        <v>21</v>
      </c>
      <c r="L74" t="s">
        <v>51</v>
      </c>
      <c r="M74" t="s">
        <v>22</v>
      </c>
      <c r="N74" t="s">
        <v>23</v>
      </c>
      <c r="P74">
        <v>3</v>
      </c>
      <c r="Q74">
        <f t="shared" si="3"/>
        <v>1</v>
      </c>
      <c r="R74">
        <f>SENSEX!T19</f>
        <v>288</v>
      </c>
      <c r="S74">
        <f t="shared" si="4"/>
        <v>285</v>
      </c>
    </row>
    <row r="75" spans="1:19" x14ac:dyDescent="0.35">
      <c r="A75" t="str">
        <f>SENSEX!Q20</f>
        <v>SENSEX25D1883900CE</v>
      </c>
      <c r="B75" t="s">
        <v>26</v>
      </c>
      <c r="C75" t="s">
        <v>29</v>
      </c>
      <c r="D75">
        <v>20</v>
      </c>
      <c r="E75" t="s">
        <v>24</v>
      </c>
      <c r="F75" t="s">
        <v>25</v>
      </c>
      <c r="H75" t="s">
        <v>27</v>
      </c>
      <c r="I75" t="s">
        <v>20</v>
      </c>
      <c r="J75" t="s">
        <v>21</v>
      </c>
      <c r="L75" t="s">
        <v>51</v>
      </c>
      <c r="M75" t="s">
        <v>22</v>
      </c>
      <c r="N75" t="s">
        <v>23</v>
      </c>
      <c r="P75">
        <v>3</v>
      </c>
      <c r="Q75">
        <f t="shared" si="3"/>
        <v>1</v>
      </c>
      <c r="R75">
        <f>SENSEX!T20</f>
        <v>268</v>
      </c>
      <c r="S75">
        <f t="shared" si="4"/>
        <v>265</v>
      </c>
    </row>
    <row r="76" spans="1:19" x14ac:dyDescent="0.35">
      <c r="A76" t="str">
        <f>SENSEX!Q21</f>
        <v>SENSEX25D1884000CE</v>
      </c>
      <c r="B76" t="s">
        <v>26</v>
      </c>
      <c r="C76" t="s">
        <v>29</v>
      </c>
      <c r="D76">
        <v>20</v>
      </c>
      <c r="E76" t="s">
        <v>24</v>
      </c>
      <c r="F76" t="s">
        <v>25</v>
      </c>
      <c r="H76" t="s">
        <v>27</v>
      </c>
      <c r="I76" t="s">
        <v>20</v>
      </c>
      <c r="J76" t="s">
        <v>21</v>
      </c>
      <c r="L76" t="s">
        <v>51</v>
      </c>
      <c r="M76" t="s">
        <v>22</v>
      </c>
      <c r="N76" t="s">
        <v>23</v>
      </c>
      <c r="P76">
        <v>3</v>
      </c>
      <c r="Q76">
        <f t="shared" si="3"/>
        <v>1</v>
      </c>
      <c r="R76">
        <f>SENSEX!T21</f>
        <v>298</v>
      </c>
      <c r="S76">
        <f t="shared" si="4"/>
        <v>295</v>
      </c>
    </row>
    <row r="77" spans="1:19" x14ac:dyDescent="0.35">
      <c r="A77" t="str">
        <f>SENSEX!Q22</f>
        <v>SENSEX25D1884300CE</v>
      </c>
      <c r="B77" t="s">
        <v>26</v>
      </c>
      <c r="C77" t="s">
        <v>29</v>
      </c>
      <c r="D77">
        <v>20</v>
      </c>
      <c r="E77" t="s">
        <v>24</v>
      </c>
      <c r="F77" t="s">
        <v>25</v>
      </c>
      <c r="H77" t="s">
        <v>27</v>
      </c>
      <c r="I77" t="s">
        <v>20</v>
      </c>
      <c r="J77" t="s">
        <v>21</v>
      </c>
      <c r="L77" t="s">
        <v>51</v>
      </c>
      <c r="M77" t="s">
        <v>22</v>
      </c>
      <c r="N77" t="s">
        <v>23</v>
      </c>
      <c r="P77">
        <v>3</v>
      </c>
      <c r="Q77">
        <f t="shared" si="3"/>
        <v>1</v>
      </c>
      <c r="R77">
        <f>SENSEX!T22</f>
        <v>168</v>
      </c>
      <c r="S77">
        <f t="shared" si="4"/>
        <v>165</v>
      </c>
    </row>
    <row r="78" spans="1:19" x14ac:dyDescent="0.35">
      <c r="A78" t="str">
        <f>SENSEX!Q23</f>
        <v>SENSEX25D1884600CE</v>
      </c>
      <c r="B78" t="s">
        <v>26</v>
      </c>
      <c r="C78" t="s">
        <v>29</v>
      </c>
      <c r="D78">
        <v>20</v>
      </c>
      <c r="E78" t="s">
        <v>24</v>
      </c>
      <c r="F78" t="s">
        <v>25</v>
      </c>
      <c r="H78" t="s">
        <v>27</v>
      </c>
      <c r="I78" t="s">
        <v>20</v>
      </c>
      <c r="J78" t="s">
        <v>21</v>
      </c>
      <c r="L78" t="s">
        <v>51</v>
      </c>
      <c r="M78" t="s">
        <v>22</v>
      </c>
      <c r="N78" t="s">
        <v>23</v>
      </c>
      <c r="P78">
        <v>3</v>
      </c>
      <c r="Q78">
        <f t="shared" si="3"/>
        <v>1</v>
      </c>
      <c r="R78">
        <f>SENSEX!T23</f>
        <v>88</v>
      </c>
      <c r="S78">
        <f t="shared" si="4"/>
        <v>85</v>
      </c>
    </row>
    <row r="79" spans="1:19" x14ac:dyDescent="0.35">
      <c r="A79" t="str">
        <f>SENSEX!Q24</f>
        <v>SENSEX25D1884800CE</v>
      </c>
      <c r="B79" t="s">
        <v>26</v>
      </c>
      <c r="C79" t="s">
        <v>29</v>
      </c>
      <c r="D79">
        <v>20</v>
      </c>
      <c r="E79" t="s">
        <v>24</v>
      </c>
      <c r="F79" t="s">
        <v>25</v>
      </c>
      <c r="H79" t="s">
        <v>27</v>
      </c>
      <c r="I79" t="s">
        <v>20</v>
      </c>
      <c r="J79" t="s">
        <v>21</v>
      </c>
      <c r="L79" t="s">
        <v>51</v>
      </c>
      <c r="M79" t="s">
        <v>22</v>
      </c>
      <c r="N79" t="s">
        <v>23</v>
      </c>
      <c r="P79">
        <v>3</v>
      </c>
      <c r="Q79">
        <f t="shared" si="3"/>
        <v>1</v>
      </c>
      <c r="R79">
        <f>SENSEX!T24</f>
        <v>168</v>
      </c>
      <c r="S79">
        <f t="shared" si="4"/>
        <v>165</v>
      </c>
    </row>
    <row r="80" spans="1:19" x14ac:dyDescent="0.35">
      <c r="A80" t="str">
        <f>SENSEX!Q25</f>
        <v>SENSEX25D1885800PE</v>
      </c>
      <c r="B80" t="s">
        <v>26</v>
      </c>
      <c r="C80" t="s">
        <v>29</v>
      </c>
      <c r="D80">
        <v>20</v>
      </c>
      <c r="E80" t="s">
        <v>24</v>
      </c>
      <c r="F80" t="s">
        <v>25</v>
      </c>
      <c r="H80" t="s">
        <v>27</v>
      </c>
      <c r="I80" t="s">
        <v>20</v>
      </c>
      <c r="J80" t="s">
        <v>21</v>
      </c>
      <c r="L80" t="s">
        <v>51</v>
      </c>
      <c r="M80" t="s">
        <v>22</v>
      </c>
      <c r="N80" t="s">
        <v>23</v>
      </c>
      <c r="P80">
        <v>3</v>
      </c>
      <c r="Q80">
        <f t="shared" si="3"/>
        <v>1</v>
      </c>
      <c r="R80">
        <f>SENSEX!T25</f>
        <v>288</v>
      </c>
      <c r="S80">
        <f t="shared" si="4"/>
        <v>285</v>
      </c>
    </row>
    <row r="81" spans="1:19" x14ac:dyDescent="0.35">
      <c r="A81" t="str">
        <f>SENSEX!Q26</f>
        <v>SENSEX25D1885700PE</v>
      </c>
      <c r="B81" t="s">
        <v>26</v>
      </c>
      <c r="C81" t="s">
        <v>29</v>
      </c>
      <c r="D81">
        <v>20</v>
      </c>
      <c r="E81" t="s">
        <v>24</v>
      </c>
      <c r="F81" t="s">
        <v>25</v>
      </c>
      <c r="H81" t="s">
        <v>27</v>
      </c>
      <c r="I81" t="s">
        <v>20</v>
      </c>
      <c r="J81" t="s">
        <v>21</v>
      </c>
      <c r="L81" t="s">
        <v>51</v>
      </c>
      <c r="M81" t="s">
        <v>22</v>
      </c>
      <c r="N81" t="s">
        <v>23</v>
      </c>
      <c r="P81">
        <v>3</v>
      </c>
      <c r="Q81">
        <f t="shared" si="3"/>
        <v>1</v>
      </c>
      <c r="R81">
        <f>SENSEX!T26</f>
        <v>268</v>
      </c>
      <c r="S81">
        <f t="shared" si="4"/>
        <v>265</v>
      </c>
    </row>
    <row r="82" spans="1:19" x14ac:dyDescent="0.35">
      <c r="A82" t="str">
        <f>SENSEX!Q27</f>
        <v>SENSEX25D1885600PE</v>
      </c>
      <c r="B82" t="s">
        <v>26</v>
      </c>
      <c r="C82" t="s">
        <v>29</v>
      </c>
      <c r="D82">
        <v>20</v>
      </c>
      <c r="E82" t="s">
        <v>24</v>
      </c>
      <c r="F82" t="s">
        <v>25</v>
      </c>
      <c r="H82" t="s">
        <v>27</v>
      </c>
      <c r="I82" t="s">
        <v>20</v>
      </c>
      <c r="J82" t="s">
        <v>21</v>
      </c>
      <c r="L82" t="s">
        <v>51</v>
      </c>
      <c r="M82" t="s">
        <v>22</v>
      </c>
      <c r="N82" t="s">
        <v>23</v>
      </c>
      <c r="P82">
        <v>3</v>
      </c>
      <c r="Q82">
        <f t="shared" si="3"/>
        <v>1</v>
      </c>
      <c r="R82">
        <f>SENSEX!T27</f>
        <v>298</v>
      </c>
      <c r="S82">
        <f t="shared" si="4"/>
        <v>295</v>
      </c>
    </row>
    <row r="83" spans="1:19" x14ac:dyDescent="0.35">
      <c r="A83" t="str">
        <f>SENSEX!Q28</f>
        <v>SENSEX25D1885300PE</v>
      </c>
      <c r="B83" t="s">
        <v>26</v>
      </c>
      <c r="C83" t="s">
        <v>29</v>
      </c>
      <c r="D83">
        <v>20</v>
      </c>
      <c r="E83" t="s">
        <v>24</v>
      </c>
      <c r="F83" t="s">
        <v>25</v>
      </c>
      <c r="H83" t="s">
        <v>27</v>
      </c>
      <c r="I83" t="s">
        <v>20</v>
      </c>
      <c r="J83" t="s">
        <v>21</v>
      </c>
      <c r="L83" t="s">
        <v>51</v>
      </c>
      <c r="M83" t="s">
        <v>22</v>
      </c>
      <c r="N83" t="s">
        <v>23</v>
      </c>
      <c r="P83">
        <v>3</v>
      </c>
      <c r="Q83">
        <f t="shared" si="3"/>
        <v>1</v>
      </c>
      <c r="R83">
        <f>SENSEX!T28</f>
        <v>168</v>
      </c>
      <c r="S83">
        <f t="shared" si="4"/>
        <v>165</v>
      </c>
    </row>
    <row r="84" spans="1:19" x14ac:dyDescent="0.35">
      <c r="A84" t="str">
        <f>SENSEX!Q29</f>
        <v>SENSEX25D1885000PE</v>
      </c>
      <c r="B84" t="s">
        <v>26</v>
      </c>
      <c r="C84" t="s">
        <v>29</v>
      </c>
      <c r="D84">
        <v>20</v>
      </c>
      <c r="E84" t="s">
        <v>24</v>
      </c>
      <c r="F84" t="s">
        <v>25</v>
      </c>
      <c r="H84" t="s">
        <v>27</v>
      </c>
      <c r="I84" t="s">
        <v>20</v>
      </c>
      <c r="J84" t="s">
        <v>21</v>
      </c>
      <c r="L84" t="s">
        <v>51</v>
      </c>
      <c r="M84" t="s">
        <v>22</v>
      </c>
      <c r="N84" t="s">
        <v>23</v>
      </c>
      <c r="P84">
        <v>3</v>
      </c>
      <c r="Q84">
        <f t="shared" si="3"/>
        <v>1</v>
      </c>
      <c r="R84">
        <f>SENSEX!T29</f>
        <v>88</v>
      </c>
      <c r="S84">
        <f t="shared" si="4"/>
        <v>85</v>
      </c>
    </row>
    <row r="85" spans="1:19" x14ac:dyDescent="0.35">
      <c r="A85" t="str">
        <f>SENSEX!Q30</f>
        <v>SENSEX25D1884800PE</v>
      </c>
      <c r="B85" t="s">
        <v>26</v>
      </c>
      <c r="C85" t="s">
        <v>29</v>
      </c>
      <c r="D85">
        <v>20</v>
      </c>
      <c r="E85" t="s">
        <v>24</v>
      </c>
      <c r="F85" t="s">
        <v>25</v>
      </c>
      <c r="H85" t="s">
        <v>27</v>
      </c>
      <c r="I85" t="s">
        <v>20</v>
      </c>
      <c r="J85" t="s">
        <v>21</v>
      </c>
      <c r="L85" t="s">
        <v>51</v>
      </c>
      <c r="M85" t="s">
        <v>22</v>
      </c>
      <c r="N85" t="s">
        <v>23</v>
      </c>
      <c r="P85">
        <v>3</v>
      </c>
      <c r="Q85">
        <f t="shared" si="3"/>
        <v>1</v>
      </c>
      <c r="R85">
        <f>SENSEX!T30</f>
        <v>168</v>
      </c>
      <c r="S85">
        <f t="shared" si="4"/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5"/>
  <sheetViews>
    <sheetView tabSelected="1" workbookViewId="0">
      <selection activeCell="A24" sqref="A24"/>
    </sheetView>
  </sheetViews>
  <sheetFormatPr defaultRowHeight="14.5" x14ac:dyDescent="0.35"/>
  <cols>
    <col min="1" max="1" width="19.453125" bestFit="1" customWidth="1"/>
    <col min="2" max="2" width="8.6328125" bestFit="1" customWidth="1"/>
    <col min="3" max="3" width="8.26953125" bestFit="1" customWidth="1"/>
    <col min="4" max="4" width="3.81640625" bestFit="1" customWidth="1"/>
    <col min="5" max="5" width="10.1796875" bestFit="1" customWidth="1"/>
    <col min="6" max="6" width="4.90625" bestFit="1" customWidth="1"/>
    <col min="7" max="7" width="11.36328125" bestFit="1" customWidth="1"/>
    <col min="8" max="8" width="8.26953125" bestFit="1" customWidth="1"/>
    <col min="9" max="9" width="6.81640625" bestFit="1" customWidth="1"/>
    <col min="10" max="10" width="6.7265625" bestFit="1" customWidth="1"/>
    <col min="11" max="11" width="12.1796875" bestFit="1" customWidth="1"/>
    <col min="12" max="12" width="15.08984375" bestFit="1" customWidth="1"/>
    <col min="13" max="13" width="3.7265625" bestFit="1" customWidth="1"/>
    <col min="14" max="14" width="7.90625" bestFit="1" customWidth="1"/>
    <col min="15" max="15" width="9.6328125" bestFit="1" customWidth="1"/>
    <col min="16" max="16" width="13.453125" bestFit="1" customWidth="1"/>
    <col min="17" max="17" width="11.6328125" bestFit="1" customWidth="1"/>
    <col min="18" max="18" width="13.453125" bestFit="1" customWidth="1"/>
    <col min="19" max="19" width="11.6328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tr">
        <f>SENSEX!Q3</f>
        <v>SENSEX25D1884600CE</v>
      </c>
      <c r="B2" t="s">
        <v>26</v>
      </c>
      <c r="C2" t="s">
        <v>19</v>
      </c>
      <c r="D2">
        <v>60</v>
      </c>
      <c r="E2" t="s">
        <v>24</v>
      </c>
      <c r="G2">
        <f>SENSEX!D3</f>
        <v>338</v>
      </c>
      <c r="H2" t="s">
        <v>27</v>
      </c>
      <c r="I2" t="s">
        <v>20</v>
      </c>
      <c r="J2" t="s">
        <v>21</v>
      </c>
      <c r="L2" t="s">
        <v>50</v>
      </c>
      <c r="M2" t="s">
        <v>22</v>
      </c>
      <c r="N2" t="s">
        <v>28</v>
      </c>
      <c r="O2">
        <f>G2-5</f>
        <v>333</v>
      </c>
    </row>
    <row r="3" spans="1:19" x14ac:dyDescent="0.35">
      <c r="A3" t="str">
        <f>SENSEX!Q4</f>
        <v>SENSEX25D1884700CE</v>
      </c>
      <c r="B3" t="s">
        <v>26</v>
      </c>
      <c r="C3" t="s">
        <v>19</v>
      </c>
      <c r="D3">
        <v>60</v>
      </c>
      <c r="E3" t="s">
        <v>24</v>
      </c>
      <c r="G3">
        <f>SENSEX!D4</f>
        <v>338</v>
      </c>
      <c r="H3" t="s">
        <v>27</v>
      </c>
      <c r="I3" t="s">
        <v>20</v>
      </c>
      <c r="J3" t="s">
        <v>21</v>
      </c>
      <c r="L3" t="s">
        <v>50</v>
      </c>
      <c r="M3" t="s">
        <v>22</v>
      </c>
      <c r="N3" t="s">
        <v>28</v>
      </c>
      <c r="O3">
        <f t="shared" ref="O3:O29" si="0">G3-5</f>
        <v>333</v>
      </c>
    </row>
    <row r="4" spans="1:19" x14ac:dyDescent="0.35">
      <c r="A4" t="str">
        <f>SENSEX!Q5</f>
        <v>SENSEX25D1884800CE</v>
      </c>
      <c r="B4" t="s">
        <v>26</v>
      </c>
      <c r="C4" t="s">
        <v>19</v>
      </c>
      <c r="D4">
        <v>60</v>
      </c>
      <c r="E4" t="s">
        <v>24</v>
      </c>
      <c r="G4">
        <f>SENSEX!D5</f>
        <v>338</v>
      </c>
      <c r="H4" t="s">
        <v>27</v>
      </c>
      <c r="I4" t="s">
        <v>20</v>
      </c>
      <c r="J4" t="s">
        <v>21</v>
      </c>
      <c r="L4" t="s">
        <v>50</v>
      </c>
      <c r="M4" t="s">
        <v>22</v>
      </c>
      <c r="N4" t="s">
        <v>28</v>
      </c>
      <c r="O4">
        <f t="shared" si="0"/>
        <v>333</v>
      </c>
    </row>
    <row r="5" spans="1:19" x14ac:dyDescent="0.35">
      <c r="A5" t="str">
        <f>SENSEX!Q6</f>
        <v>SENSEX25D1884900CE</v>
      </c>
      <c r="B5" t="s">
        <v>26</v>
      </c>
      <c r="C5" t="s">
        <v>19</v>
      </c>
      <c r="D5">
        <v>60</v>
      </c>
      <c r="E5" t="s">
        <v>24</v>
      </c>
      <c r="G5">
        <f>SENSEX!D6</f>
        <v>338</v>
      </c>
      <c r="H5" t="s">
        <v>27</v>
      </c>
      <c r="I5" t="s">
        <v>20</v>
      </c>
      <c r="J5" t="s">
        <v>21</v>
      </c>
      <c r="L5" t="s">
        <v>50</v>
      </c>
      <c r="M5" t="s">
        <v>22</v>
      </c>
      <c r="N5" t="s">
        <v>28</v>
      </c>
      <c r="O5">
        <f t="shared" si="0"/>
        <v>333</v>
      </c>
    </row>
    <row r="6" spans="1:19" x14ac:dyDescent="0.35">
      <c r="A6" t="str">
        <f>SENSEX!Q7</f>
        <v>SENSEX25D1885000CE</v>
      </c>
      <c r="B6" t="s">
        <v>26</v>
      </c>
      <c r="C6" t="s">
        <v>19</v>
      </c>
      <c r="D6">
        <v>60</v>
      </c>
      <c r="E6" t="s">
        <v>24</v>
      </c>
      <c r="G6">
        <f>SENSEX!D7</f>
        <v>288</v>
      </c>
      <c r="H6" t="s">
        <v>27</v>
      </c>
      <c r="I6" t="s">
        <v>20</v>
      </c>
      <c r="J6" t="s">
        <v>21</v>
      </c>
      <c r="L6" t="s">
        <v>50</v>
      </c>
      <c r="M6" t="s">
        <v>22</v>
      </c>
      <c r="N6" t="s">
        <v>28</v>
      </c>
      <c r="O6">
        <f t="shared" si="0"/>
        <v>283</v>
      </c>
    </row>
    <row r="7" spans="1:19" x14ac:dyDescent="0.35">
      <c r="A7" t="str">
        <f>SENSEX!Q8</f>
        <v>SENSEX25D1885300CE</v>
      </c>
      <c r="B7" t="s">
        <v>26</v>
      </c>
      <c r="C7" t="s">
        <v>19</v>
      </c>
      <c r="D7">
        <v>60</v>
      </c>
      <c r="E7" t="s">
        <v>24</v>
      </c>
      <c r="G7">
        <f>SENSEX!D8</f>
        <v>168</v>
      </c>
      <c r="H7" t="s">
        <v>27</v>
      </c>
      <c r="I7" t="s">
        <v>20</v>
      </c>
      <c r="J7" t="s">
        <v>21</v>
      </c>
      <c r="L7" t="s">
        <v>50</v>
      </c>
      <c r="M7" t="s">
        <v>22</v>
      </c>
      <c r="N7" t="s">
        <v>28</v>
      </c>
      <c r="O7">
        <f t="shared" si="0"/>
        <v>163</v>
      </c>
    </row>
    <row r="8" spans="1:19" x14ac:dyDescent="0.35">
      <c r="A8" t="str">
        <f>SENSEX!Q9</f>
        <v>SENSEX25D1885600CE</v>
      </c>
      <c r="B8" t="s">
        <v>26</v>
      </c>
      <c r="C8" t="s">
        <v>19</v>
      </c>
      <c r="D8">
        <v>60</v>
      </c>
      <c r="E8" t="s">
        <v>24</v>
      </c>
      <c r="G8">
        <f>SENSEX!D9</f>
        <v>68</v>
      </c>
      <c r="H8" t="s">
        <v>27</v>
      </c>
      <c r="I8" t="s">
        <v>20</v>
      </c>
      <c r="J8" t="s">
        <v>21</v>
      </c>
      <c r="L8" t="s">
        <v>50</v>
      </c>
      <c r="M8" t="s">
        <v>22</v>
      </c>
      <c r="N8" t="s">
        <v>28</v>
      </c>
      <c r="O8">
        <f t="shared" si="0"/>
        <v>63</v>
      </c>
    </row>
    <row r="9" spans="1:19" x14ac:dyDescent="0.35">
      <c r="A9" t="str">
        <f>SENSEX!Q10</f>
        <v>SENSEX25D1885800CE</v>
      </c>
      <c r="B9" t="s">
        <v>26</v>
      </c>
      <c r="C9" t="s">
        <v>19</v>
      </c>
      <c r="D9">
        <v>60</v>
      </c>
      <c r="E9" t="s">
        <v>24</v>
      </c>
      <c r="G9">
        <f>SENSEX!D10</f>
        <v>168</v>
      </c>
      <c r="H9" t="s">
        <v>27</v>
      </c>
      <c r="I9" t="s">
        <v>20</v>
      </c>
      <c r="J9" t="s">
        <v>21</v>
      </c>
      <c r="L9" t="s">
        <v>50</v>
      </c>
      <c r="M9" t="s">
        <v>22</v>
      </c>
      <c r="N9" t="s">
        <v>28</v>
      </c>
      <c r="O9">
        <f t="shared" si="0"/>
        <v>163</v>
      </c>
    </row>
    <row r="10" spans="1:19" x14ac:dyDescent="0.35">
      <c r="A10" t="str">
        <f>SENSEX!Q11</f>
        <v>SENSEX25D1885000PE</v>
      </c>
      <c r="B10" t="s">
        <v>26</v>
      </c>
      <c r="C10" t="s">
        <v>19</v>
      </c>
      <c r="D10">
        <v>60</v>
      </c>
      <c r="E10" t="s">
        <v>24</v>
      </c>
      <c r="G10">
        <f>SENSEX!D11</f>
        <v>338</v>
      </c>
      <c r="H10" t="s">
        <v>27</v>
      </c>
      <c r="I10" t="s">
        <v>20</v>
      </c>
      <c r="J10" t="s">
        <v>21</v>
      </c>
      <c r="L10" t="s">
        <v>50</v>
      </c>
      <c r="M10" t="s">
        <v>22</v>
      </c>
      <c r="N10" t="s">
        <v>28</v>
      </c>
      <c r="O10">
        <f t="shared" si="0"/>
        <v>333</v>
      </c>
    </row>
    <row r="11" spans="1:19" x14ac:dyDescent="0.35">
      <c r="A11" t="str">
        <f>SENSEX!Q12</f>
        <v>SENSEX25D1884900PE</v>
      </c>
      <c r="B11" t="s">
        <v>26</v>
      </c>
      <c r="C11" t="s">
        <v>19</v>
      </c>
      <c r="D11">
        <v>60</v>
      </c>
      <c r="E11" t="s">
        <v>24</v>
      </c>
      <c r="G11">
        <f>SENSEX!D12</f>
        <v>338</v>
      </c>
      <c r="H11" t="s">
        <v>27</v>
      </c>
      <c r="I11" t="s">
        <v>20</v>
      </c>
      <c r="J11" t="s">
        <v>21</v>
      </c>
      <c r="L11" t="s">
        <v>50</v>
      </c>
      <c r="M11" t="s">
        <v>22</v>
      </c>
      <c r="N11" t="s">
        <v>28</v>
      </c>
      <c r="O11">
        <f t="shared" si="0"/>
        <v>333</v>
      </c>
    </row>
    <row r="12" spans="1:19" x14ac:dyDescent="0.35">
      <c r="A12" t="str">
        <f>SENSEX!Q13</f>
        <v>SENSEX25D1884800PE</v>
      </c>
      <c r="B12" t="s">
        <v>26</v>
      </c>
      <c r="C12" t="s">
        <v>19</v>
      </c>
      <c r="D12">
        <v>60</v>
      </c>
      <c r="E12" t="s">
        <v>24</v>
      </c>
      <c r="G12">
        <f>SENSEX!D13</f>
        <v>338</v>
      </c>
      <c r="H12" t="s">
        <v>27</v>
      </c>
      <c r="I12" t="s">
        <v>20</v>
      </c>
      <c r="J12" t="s">
        <v>21</v>
      </c>
      <c r="L12" t="s">
        <v>50</v>
      </c>
      <c r="M12" t="s">
        <v>22</v>
      </c>
      <c r="N12" t="s">
        <v>28</v>
      </c>
      <c r="O12">
        <f t="shared" si="0"/>
        <v>333</v>
      </c>
    </row>
    <row r="13" spans="1:19" x14ac:dyDescent="0.35">
      <c r="A13" t="str">
        <f>SENSEX!Q14</f>
        <v>SENSEX25D1884700PE</v>
      </c>
      <c r="B13" t="s">
        <v>26</v>
      </c>
      <c r="C13" t="s">
        <v>19</v>
      </c>
      <c r="D13">
        <v>60</v>
      </c>
      <c r="E13" t="s">
        <v>24</v>
      </c>
      <c r="G13">
        <f>SENSEX!D14</f>
        <v>338</v>
      </c>
      <c r="H13" t="s">
        <v>27</v>
      </c>
      <c r="I13" t="s">
        <v>20</v>
      </c>
      <c r="J13" t="s">
        <v>21</v>
      </c>
      <c r="L13" t="s">
        <v>50</v>
      </c>
      <c r="M13" t="s">
        <v>22</v>
      </c>
      <c r="N13" t="s">
        <v>28</v>
      </c>
      <c r="O13">
        <f t="shared" si="0"/>
        <v>333</v>
      </c>
    </row>
    <row r="14" spans="1:19" x14ac:dyDescent="0.35">
      <c r="A14" t="str">
        <f>SENSEX!Q15</f>
        <v>SENSEX25D1884600PE</v>
      </c>
      <c r="B14" t="s">
        <v>26</v>
      </c>
      <c r="C14" t="s">
        <v>19</v>
      </c>
      <c r="D14">
        <v>60</v>
      </c>
      <c r="E14" t="s">
        <v>24</v>
      </c>
      <c r="G14">
        <f>SENSEX!D15</f>
        <v>288</v>
      </c>
      <c r="H14" t="s">
        <v>27</v>
      </c>
      <c r="I14" t="s">
        <v>20</v>
      </c>
      <c r="J14" t="s">
        <v>21</v>
      </c>
      <c r="L14" t="s">
        <v>50</v>
      </c>
      <c r="M14" t="s">
        <v>22</v>
      </c>
      <c r="N14" t="s">
        <v>28</v>
      </c>
      <c r="O14">
        <f t="shared" si="0"/>
        <v>283</v>
      </c>
    </row>
    <row r="15" spans="1:19" x14ac:dyDescent="0.35">
      <c r="A15" t="str">
        <f>SENSEX!Q16</f>
        <v>SENSEX25D1884300PE</v>
      </c>
      <c r="B15" t="s">
        <v>26</v>
      </c>
      <c r="C15" t="s">
        <v>19</v>
      </c>
      <c r="D15">
        <v>60</v>
      </c>
      <c r="E15" t="s">
        <v>24</v>
      </c>
      <c r="G15">
        <f>SENSEX!D16</f>
        <v>168</v>
      </c>
      <c r="H15" t="s">
        <v>27</v>
      </c>
      <c r="I15" t="s">
        <v>20</v>
      </c>
      <c r="J15" t="s">
        <v>21</v>
      </c>
      <c r="L15" t="s">
        <v>50</v>
      </c>
      <c r="M15" t="s">
        <v>22</v>
      </c>
      <c r="N15" t="s">
        <v>28</v>
      </c>
      <c r="O15">
        <f t="shared" si="0"/>
        <v>163</v>
      </c>
    </row>
    <row r="16" spans="1:19" x14ac:dyDescent="0.35">
      <c r="A16" t="str">
        <f>SENSEX!Q17</f>
        <v>SENSEX25D1884000PE</v>
      </c>
      <c r="B16" t="s">
        <v>26</v>
      </c>
      <c r="C16" t="s">
        <v>19</v>
      </c>
      <c r="D16">
        <v>60</v>
      </c>
      <c r="E16" t="s">
        <v>24</v>
      </c>
      <c r="G16">
        <f>SENSEX!D17</f>
        <v>68</v>
      </c>
      <c r="H16" t="s">
        <v>27</v>
      </c>
      <c r="I16" t="s">
        <v>20</v>
      </c>
      <c r="J16" t="s">
        <v>21</v>
      </c>
      <c r="L16" t="s">
        <v>50</v>
      </c>
      <c r="M16" t="s">
        <v>22</v>
      </c>
      <c r="N16" t="s">
        <v>28</v>
      </c>
      <c r="O16">
        <f t="shared" si="0"/>
        <v>63</v>
      </c>
    </row>
    <row r="17" spans="1:19" x14ac:dyDescent="0.35">
      <c r="A17" t="str">
        <f>SENSEX!Q18</f>
        <v>SENSEX25D1883800PE</v>
      </c>
      <c r="B17" t="s">
        <v>26</v>
      </c>
      <c r="C17" t="s">
        <v>19</v>
      </c>
      <c r="D17">
        <v>60</v>
      </c>
      <c r="E17" t="s">
        <v>24</v>
      </c>
      <c r="G17">
        <f>SENSEX!D18</f>
        <v>168</v>
      </c>
      <c r="H17" t="s">
        <v>27</v>
      </c>
      <c r="I17" t="s">
        <v>20</v>
      </c>
      <c r="J17" t="s">
        <v>21</v>
      </c>
      <c r="L17" t="s">
        <v>50</v>
      </c>
      <c r="M17" t="s">
        <v>22</v>
      </c>
      <c r="N17" t="s">
        <v>28</v>
      </c>
      <c r="O17">
        <f t="shared" si="0"/>
        <v>163</v>
      </c>
    </row>
    <row r="18" spans="1:19" x14ac:dyDescent="0.35">
      <c r="A18" t="str">
        <f>SENSEX!Q19</f>
        <v>SENSEX25D1883800CE</v>
      </c>
      <c r="B18" t="s">
        <v>26</v>
      </c>
      <c r="C18" t="s">
        <v>19</v>
      </c>
      <c r="D18">
        <v>60</v>
      </c>
      <c r="E18" t="s">
        <v>24</v>
      </c>
      <c r="G18">
        <f>SENSEX!D19</f>
        <v>338</v>
      </c>
      <c r="H18" t="s">
        <v>27</v>
      </c>
      <c r="I18" t="s">
        <v>20</v>
      </c>
      <c r="J18" t="s">
        <v>21</v>
      </c>
      <c r="L18" t="s">
        <v>50</v>
      </c>
      <c r="M18" t="s">
        <v>22</v>
      </c>
      <c r="N18" t="s">
        <v>28</v>
      </c>
      <c r="O18">
        <f t="shared" si="0"/>
        <v>333</v>
      </c>
    </row>
    <row r="19" spans="1:19" x14ac:dyDescent="0.35">
      <c r="A19" t="str">
        <f>SENSEX!Q20</f>
        <v>SENSEX25D1883900CE</v>
      </c>
      <c r="B19" t="s">
        <v>26</v>
      </c>
      <c r="C19" t="s">
        <v>19</v>
      </c>
      <c r="D19">
        <v>60</v>
      </c>
      <c r="E19" t="s">
        <v>24</v>
      </c>
      <c r="G19">
        <f>SENSEX!D20</f>
        <v>338</v>
      </c>
      <c r="H19" t="s">
        <v>27</v>
      </c>
      <c r="I19" t="s">
        <v>20</v>
      </c>
      <c r="J19" t="s">
        <v>21</v>
      </c>
      <c r="L19" t="s">
        <v>50</v>
      </c>
      <c r="M19" t="s">
        <v>22</v>
      </c>
      <c r="N19" t="s">
        <v>28</v>
      </c>
      <c r="O19">
        <f t="shared" si="0"/>
        <v>333</v>
      </c>
    </row>
    <row r="20" spans="1:19" x14ac:dyDescent="0.35">
      <c r="A20" t="str">
        <f>SENSEX!Q21</f>
        <v>SENSEX25D1884000CE</v>
      </c>
      <c r="B20" t="s">
        <v>26</v>
      </c>
      <c r="C20" t="s">
        <v>19</v>
      </c>
      <c r="D20">
        <v>60</v>
      </c>
      <c r="E20" t="s">
        <v>24</v>
      </c>
      <c r="G20">
        <f>SENSEX!D21</f>
        <v>288</v>
      </c>
      <c r="H20" t="s">
        <v>27</v>
      </c>
      <c r="I20" t="s">
        <v>20</v>
      </c>
      <c r="J20" t="s">
        <v>21</v>
      </c>
      <c r="L20" t="s">
        <v>50</v>
      </c>
      <c r="M20" t="s">
        <v>22</v>
      </c>
      <c r="N20" t="s">
        <v>28</v>
      </c>
      <c r="O20">
        <f t="shared" si="0"/>
        <v>283</v>
      </c>
    </row>
    <row r="21" spans="1:19" x14ac:dyDescent="0.35">
      <c r="A21" t="str">
        <f>SENSEX!Q22</f>
        <v>SENSEX25D1884300CE</v>
      </c>
      <c r="B21" t="s">
        <v>26</v>
      </c>
      <c r="C21" t="s">
        <v>19</v>
      </c>
      <c r="D21">
        <v>60</v>
      </c>
      <c r="E21" t="s">
        <v>24</v>
      </c>
      <c r="G21">
        <f>SENSEX!D22</f>
        <v>168</v>
      </c>
      <c r="H21" t="s">
        <v>27</v>
      </c>
      <c r="I21" t="s">
        <v>20</v>
      </c>
      <c r="J21" t="s">
        <v>21</v>
      </c>
      <c r="L21" t="s">
        <v>50</v>
      </c>
      <c r="M21" t="s">
        <v>22</v>
      </c>
      <c r="N21" t="s">
        <v>28</v>
      </c>
      <c r="O21">
        <f t="shared" si="0"/>
        <v>163</v>
      </c>
    </row>
    <row r="22" spans="1:19" x14ac:dyDescent="0.35">
      <c r="A22" t="str">
        <f>SENSEX!Q23</f>
        <v>SENSEX25D1884600CE</v>
      </c>
      <c r="B22" t="s">
        <v>26</v>
      </c>
      <c r="C22" t="s">
        <v>19</v>
      </c>
      <c r="D22">
        <v>60</v>
      </c>
      <c r="E22" t="s">
        <v>24</v>
      </c>
      <c r="G22">
        <f>SENSEX!D23</f>
        <v>68</v>
      </c>
      <c r="H22" t="s">
        <v>27</v>
      </c>
      <c r="I22" t="s">
        <v>20</v>
      </c>
      <c r="J22" t="s">
        <v>21</v>
      </c>
      <c r="L22" t="s">
        <v>50</v>
      </c>
      <c r="M22" t="s">
        <v>22</v>
      </c>
      <c r="N22" t="s">
        <v>28</v>
      </c>
      <c r="O22">
        <f t="shared" si="0"/>
        <v>63</v>
      </c>
    </row>
    <row r="23" spans="1:19" x14ac:dyDescent="0.35">
      <c r="A23" t="str">
        <f>SENSEX!Q24</f>
        <v>SENSEX25D1884800CE</v>
      </c>
      <c r="B23" t="s">
        <v>26</v>
      </c>
      <c r="C23" t="s">
        <v>19</v>
      </c>
      <c r="D23">
        <v>60</v>
      </c>
      <c r="E23" t="s">
        <v>24</v>
      </c>
      <c r="G23">
        <f>SENSEX!D24</f>
        <v>168</v>
      </c>
      <c r="H23" t="s">
        <v>27</v>
      </c>
      <c r="I23" t="s">
        <v>20</v>
      </c>
      <c r="J23" t="s">
        <v>21</v>
      </c>
      <c r="L23" t="s">
        <v>50</v>
      </c>
      <c r="M23" t="s">
        <v>22</v>
      </c>
      <c r="N23" t="s">
        <v>28</v>
      </c>
      <c r="O23">
        <f t="shared" si="0"/>
        <v>163</v>
      </c>
    </row>
    <row r="24" spans="1:19" x14ac:dyDescent="0.35">
      <c r="A24" t="str">
        <f>SENSEX!Q25</f>
        <v>SENSEX25D1885800PE</v>
      </c>
      <c r="B24" t="s">
        <v>26</v>
      </c>
      <c r="C24" t="s">
        <v>19</v>
      </c>
      <c r="D24">
        <v>60</v>
      </c>
      <c r="E24" t="s">
        <v>24</v>
      </c>
      <c r="G24">
        <f>SENSEX!D25</f>
        <v>338</v>
      </c>
      <c r="H24" t="s">
        <v>27</v>
      </c>
      <c r="I24" t="s">
        <v>20</v>
      </c>
      <c r="J24" t="s">
        <v>21</v>
      </c>
      <c r="L24" t="s">
        <v>50</v>
      </c>
      <c r="M24" t="s">
        <v>22</v>
      </c>
      <c r="N24" t="s">
        <v>28</v>
      </c>
      <c r="O24">
        <f t="shared" si="0"/>
        <v>333</v>
      </c>
    </row>
    <row r="25" spans="1:19" x14ac:dyDescent="0.35">
      <c r="A25" t="str">
        <f>SENSEX!Q26</f>
        <v>SENSEX25D1885700PE</v>
      </c>
      <c r="B25" t="s">
        <v>26</v>
      </c>
      <c r="C25" t="s">
        <v>19</v>
      </c>
      <c r="D25">
        <v>60</v>
      </c>
      <c r="E25" t="s">
        <v>24</v>
      </c>
      <c r="G25">
        <f>SENSEX!D26</f>
        <v>338</v>
      </c>
      <c r="H25" t="s">
        <v>27</v>
      </c>
      <c r="I25" t="s">
        <v>20</v>
      </c>
      <c r="J25" t="s">
        <v>21</v>
      </c>
      <c r="L25" t="s">
        <v>50</v>
      </c>
      <c r="M25" t="s">
        <v>22</v>
      </c>
      <c r="N25" t="s">
        <v>28</v>
      </c>
      <c r="O25">
        <f t="shared" si="0"/>
        <v>333</v>
      </c>
    </row>
    <row r="26" spans="1:19" x14ac:dyDescent="0.35">
      <c r="A26" t="str">
        <f>SENSEX!Q27</f>
        <v>SENSEX25D1885600PE</v>
      </c>
      <c r="B26" t="s">
        <v>26</v>
      </c>
      <c r="C26" t="s">
        <v>19</v>
      </c>
      <c r="D26">
        <v>60</v>
      </c>
      <c r="E26" t="s">
        <v>24</v>
      </c>
      <c r="G26">
        <f>SENSEX!D27</f>
        <v>288</v>
      </c>
      <c r="H26" t="s">
        <v>27</v>
      </c>
      <c r="I26" t="s">
        <v>20</v>
      </c>
      <c r="J26" t="s">
        <v>21</v>
      </c>
      <c r="L26" t="s">
        <v>50</v>
      </c>
      <c r="M26" t="s">
        <v>22</v>
      </c>
      <c r="N26" t="s">
        <v>28</v>
      </c>
      <c r="O26">
        <f t="shared" si="0"/>
        <v>283</v>
      </c>
    </row>
    <row r="27" spans="1:19" x14ac:dyDescent="0.35">
      <c r="A27" t="str">
        <f>SENSEX!Q28</f>
        <v>SENSEX25D1885300PE</v>
      </c>
      <c r="B27" t="s">
        <v>26</v>
      </c>
      <c r="C27" t="s">
        <v>19</v>
      </c>
      <c r="D27">
        <v>60</v>
      </c>
      <c r="E27" t="s">
        <v>24</v>
      </c>
      <c r="G27">
        <f>SENSEX!D28</f>
        <v>168</v>
      </c>
      <c r="H27" t="s">
        <v>27</v>
      </c>
      <c r="I27" t="s">
        <v>20</v>
      </c>
      <c r="J27" t="s">
        <v>21</v>
      </c>
      <c r="L27" t="s">
        <v>50</v>
      </c>
      <c r="M27" t="s">
        <v>22</v>
      </c>
      <c r="N27" t="s">
        <v>28</v>
      </c>
      <c r="O27">
        <f t="shared" si="0"/>
        <v>163</v>
      </c>
    </row>
    <row r="28" spans="1:19" x14ac:dyDescent="0.35">
      <c r="A28" t="str">
        <f>SENSEX!Q29</f>
        <v>SENSEX25D1885000PE</v>
      </c>
      <c r="B28" t="s">
        <v>26</v>
      </c>
      <c r="C28" t="s">
        <v>19</v>
      </c>
      <c r="D28">
        <v>60</v>
      </c>
      <c r="E28" t="s">
        <v>24</v>
      </c>
      <c r="G28">
        <f>SENSEX!D29</f>
        <v>68</v>
      </c>
      <c r="H28" t="s">
        <v>27</v>
      </c>
      <c r="I28" t="s">
        <v>20</v>
      </c>
      <c r="J28" t="s">
        <v>21</v>
      </c>
      <c r="L28" t="s">
        <v>50</v>
      </c>
      <c r="M28" t="s">
        <v>22</v>
      </c>
      <c r="N28" t="s">
        <v>28</v>
      </c>
      <c r="O28">
        <f t="shared" si="0"/>
        <v>63</v>
      </c>
    </row>
    <row r="29" spans="1:19" x14ac:dyDescent="0.35">
      <c r="A29" t="str">
        <f>SENSEX!Q30</f>
        <v>SENSEX25D1884800PE</v>
      </c>
      <c r="B29" t="s">
        <v>26</v>
      </c>
      <c r="C29" t="s">
        <v>19</v>
      </c>
      <c r="D29">
        <v>60</v>
      </c>
      <c r="E29" t="s">
        <v>24</v>
      </c>
      <c r="G29">
        <f>SENSEX!D30</f>
        <v>168</v>
      </c>
      <c r="H29" t="s">
        <v>27</v>
      </c>
      <c r="I29" t="s">
        <v>20</v>
      </c>
      <c r="J29" t="s">
        <v>21</v>
      </c>
      <c r="L29" t="s">
        <v>50</v>
      </c>
      <c r="M29" t="s">
        <v>22</v>
      </c>
      <c r="N29" t="s">
        <v>28</v>
      </c>
      <c r="O29">
        <f t="shared" si="0"/>
        <v>163</v>
      </c>
    </row>
    <row r="30" spans="1:19" x14ac:dyDescent="0.35">
      <c r="A30" t="str">
        <f>SENSEX!Q3</f>
        <v>SENSEX25D1884600CE</v>
      </c>
      <c r="B30" t="s">
        <v>26</v>
      </c>
      <c r="C30" t="s">
        <v>29</v>
      </c>
      <c r="D30">
        <v>60</v>
      </c>
      <c r="E30" t="s">
        <v>24</v>
      </c>
      <c r="F30" t="s">
        <v>25</v>
      </c>
      <c r="H30" t="s">
        <v>27</v>
      </c>
      <c r="I30" t="s">
        <v>20</v>
      </c>
      <c r="J30" t="s">
        <v>21</v>
      </c>
      <c r="L30" t="s">
        <v>50</v>
      </c>
      <c r="M30" t="s">
        <v>22</v>
      </c>
      <c r="N30" t="s">
        <v>23</v>
      </c>
      <c r="P30">
        <f>SENSEX!X3</f>
        <v>225</v>
      </c>
      <c r="Q30">
        <f>P30-2</f>
        <v>223</v>
      </c>
      <c r="R30">
        <f>SENSEX!E3</f>
        <v>418</v>
      </c>
      <c r="S30">
        <f>R30-3</f>
        <v>415</v>
      </c>
    </row>
    <row r="31" spans="1:19" x14ac:dyDescent="0.35">
      <c r="A31" t="str">
        <f>SENSEX!Q4</f>
        <v>SENSEX25D1884700CE</v>
      </c>
      <c r="B31" t="s">
        <v>26</v>
      </c>
      <c r="C31" t="s">
        <v>29</v>
      </c>
      <c r="D31">
        <v>40</v>
      </c>
      <c r="E31" t="s">
        <v>24</v>
      </c>
      <c r="F31" t="s">
        <v>25</v>
      </c>
      <c r="H31" t="s">
        <v>27</v>
      </c>
      <c r="I31" t="s">
        <v>20</v>
      </c>
      <c r="J31" t="s">
        <v>21</v>
      </c>
      <c r="L31" t="s">
        <v>50</v>
      </c>
      <c r="M31" t="s">
        <v>22</v>
      </c>
      <c r="N31" t="s">
        <v>23</v>
      </c>
      <c r="P31">
        <f>SENSEX!X4</f>
        <v>225</v>
      </c>
      <c r="Q31">
        <f t="shared" ref="Q31:Q57" si="1">P31-2</f>
        <v>223</v>
      </c>
      <c r="R31">
        <f>SENSEX!E4</f>
        <v>418</v>
      </c>
      <c r="S31">
        <f t="shared" ref="S31:S57" si="2">R31-3</f>
        <v>415</v>
      </c>
    </row>
    <row r="32" spans="1:19" x14ac:dyDescent="0.35">
      <c r="A32" t="str">
        <f>SENSEX!Q5</f>
        <v>SENSEX25D1884800CE</v>
      </c>
      <c r="B32" t="s">
        <v>26</v>
      </c>
      <c r="C32" t="s">
        <v>29</v>
      </c>
      <c r="D32">
        <v>40</v>
      </c>
      <c r="E32" t="s">
        <v>24</v>
      </c>
      <c r="F32" t="s">
        <v>25</v>
      </c>
      <c r="H32" t="s">
        <v>27</v>
      </c>
      <c r="I32" t="s">
        <v>20</v>
      </c>
      <c r="J32" t="s">
        <v>21</v>
      </c>
      <c r="L32" t="s">
        <v>50</v>
      </c>
      <c r="M32" t="s">
        <v>22</v>
      </c>
      <c r="N32" t="s">
        <v>23</v>
      </c>
      <c r="P32">
        <f>SENSEX!X5</f>
        <v>225</v>
      </c>
      <c r="Q32">
        <f t="shared" si="1"/>
        <v>223</v>
      </c>
      <c r="R32">
        <f>SENSEX!E5</f>
        <v>418</v>
      </c>
      <c r="S32">
        <f t="shared" si="2"/>
        <v>415</v>
      </c>
    </row>
    <row r="33" spans="1:19" x14ac:dyDescent="0.35">
      <c r="A33" t="str">
        <f>SENSEX!Q6</f>
        <v>SENSEX25D1884900CE</v>
      </c>
      <c r="B33" t="s">
        <v>26</v>
      </c>
      <c r="C33" t="s">
        <v>29</v>
      </c>
      <c r="D33">
        <v>40</v>
      </c>
      <c r="E33" t="s">
        <v>24</v>
      </c>
      <c r="F33" t="s">
        <v>25</v>
      </c>
      <c r="H33" t="s">
        <v>27</v>
      </c>
      <c r="I33" t="s">
        <v>20</v>
      </c>
      <c r="J33" t="s">
        <v>21</v>
      </c>
      <c r="L33" t="s">
        <v>50</v>
      </c>
      <c r="M33" t="s">
        <v>22</v>
      </c>
      <c r="N33" t="s">
        <v>23</v>
      </c>
      <c r="P33">
        <f>SENSEX!X6</f>
        <v>225</v>
      </c>
      <c r="Q33">
        <f t="shared" si="1"/>
        <v>223</v>
      </c>
      <c r="R33">
        <f>SENSEX!E6</f>
        <v>418</v>
      </c>
      <c r="S33">
        <f t="shared" si="2"/>
        <v>415</v>
      </c>
    </row>
    <row r="34" spans="1:19" x14ac:dyDescent="0.35">
      <c r="A34" t="str">
        <f>SENSEX!Q7</f>
        <v>SENSEX25D1885000CE</v>
      </c>
      <c r="B34" t="s">
        <v>26</v>
      </c>
      <c r="C34" t="s">
        <v>29</v>
      </c>
      <c r="D34">
        <v>40</v>
      </c>
      <c r="E34" t="s">
        <v>24</v>
      </c>
      <c r="F34" t="s">
        <v>25</v>
      </c>
      <c r="H34" t="s">
        <v>27</v>
      </c>
      <c r="I34" t="s">
        <v>20</v>
      </c>
      <c r="J34" t="s">
        <v>21</v>
      </c>
      <c r="L34" t="s">
        <v>50</v>
      </c>
      <c r="M34" t="s">
        <v>22</v>
      </c>
      <c r="N34" t="s">
        <v>23</v>
      </c>
      <c r="P34">
        <f>SENSEX!X7</f>
        <v>225</v>
      </c>
      <c r="Q34">
        <f t="shared" si="1"/>
        <v>223</v>
      </c>
      <c r="R34">
        <f>SENSEX!E7</f>
        <v>388</v>
      </c>
      <c r="S34">
        <f t="shared" si="2"/>
        <v>385</v>
      </c>
    </row>
    <row r="35" spans="1:19" x14ac:dyDescent="0.35">
      <c r="A35" t="str">
        <f>SENSEX!Q8</f>
        <v>SENSEX25D1885300CE</v>
      </c>
      <c r="B35" t="s">
        <v>26</v>
      </c>
      <c r="C35" t="s">
        <v>29</v>
      </c>
      <c r="D35">
        <v>40</v>
      </c>
      <c r="E35" t="s">
        <v>24</v>
      </c>
      <c r="F35" t="s">
        <v>25</v>
      </c>
      <c r="H35" t="s">
        <v>27</v>
      </c>
      <c r="I35" t="s">
        <v>20</v>
      </c>
      <c r="J35" t="s">
        <v>21</v>
      </c>
      <c r="L35" t="s">
        <v>50</v>
      </c>
      <c r="M35" t="s">
        <v>22</v>
      </c>
      <c r="N35" t="s">
        <v>23</v>
      </c>
      <c r="P35">
        <f>SENSEX!X8</f>
        <v>110</v>
      </c>
      <c r="Q35">
        <f t="shared" si="1"/>
        <v>108</v>
      </c>
      <c r="R35">
        <f>SENSEX!E8</f>
        <v>218</v>
      </c>
      <c r="S35">
        <f t="shared" si="2"/>
        <v>215</v>
      </c>
    </row>
    <row r="36" spans="1:19" x14ac:dyDescent="0.35">
      <c r="A36" t="str">
        <f>SENSEX!Q9</f>
        <v>SENSEX25D1885600CE</v>
      </c>
      <c r="B36" t="s">
        <v>26</v>
      </c>
      <c r="C36" t="s">
        <v>29</v>
      </c>
      <c r="D36">
        <v>40</v>
      </c>
      <c r="E36" t="s">
        <v>24</v>
      </c>
      <c r="F36" t="s">
        <v>25</v>
      </c>
      <c r="H36" t="s">
        <v>27</v>
      </c>
      <c r="I36" t="s">
        <v>20</v>
      </c>
      <c r="J36" t="s">
        <v>21</v>
      </c>
      <c r="L36" t="s">
        <v>50</v>
      </c>
      <c r="M36" t="s">
        <v>22</v>
      </c>
      <c r="N36" t="s">
        <v>23</v>
      </c>
      <c r="P36">
        <f>SENSEX!X9</f>
        <v>3</v>
      </c>
      <c r="Q36">
        <f t="shared" si="1"/>
        <v>1</v>
      </c>
      <c r="R36">
        <f>SENSEX!E9</f>
        <v>138</v>
      </c>
      <c r="S36">
        <f t="shared" si="2"/>
        <v>135</v>
      </c>
    </row>
    <row r="37" spans="1:19" x14ac:dyDescent="0.35">
      <c r="A37" t="str">
        <f>SENSEX!Q10</f>
        <v>SENSEX25D1885800CE</v>
      </c>
      <c r="B37" t="s">
        <v>26</v>
      </c>
      <c r="C37" t="s">
        <v>29</v>
      </c>
      <c r="D37">
        <v>40</v>
      </c>
      <c r="E37" t="s">
        <v>24</v>
      </c>
      <c r="F37" t="s">
        <v>25</v>
      </c>
      <c r="H37" t="s">
        <v>27</v>
      </c>
      <c r="I37" t="s">
        <v>20</v>
      </c>
      <c r="J37" t="s">
        <v>21</v>
      </c>
      <c r="L37" t="s">
        <v>50</v>
      </c>
      <c r="M37" t="s">
        <v>22</v>
      </c>
      <c r="N37" t="s">
        <v>23</v>
      </c>
      <c r="P37">
        <f>SENSEX!X10</f>
        <v>110</v>
      </c>
      <c r="Q37">
        <f t="shared" si="1"/>
        <v>108</v>
      </c>
      <c r="R37">
        <f>SENSEX!E10</f>
        <v>218</v>
      </c>
      <c r="S37">
        <f t="shared" si="2"/>
        <v>215</v>
      </c>
    </row>
    <row r="38" spans="1:19" x14ac:dyDescent="0.35">
      <c r="A38" t="str">
        <f>SENSEX!Q11</f>
        <v>SENSEX25D1885000PE</v>
      </c>
      <c r="B38" t="s">
        <v>26</v>
      </c>
      <c r="C38" t="s">
        <v>29</v>
      </c>
      <c r="D38">
        <v>40</v>
      </c>
      <c r="E38" t="s">
        <v>24</v>
      </c>
      <c r="F38" t="s">
        <v>25</v>
      </c>
      <c r="H38" t="s">
        <v>27</v>
      </c>
      <c r="I38" t="s">
        <v>20</v>
      </c>
      <c r="J38" t="s">
        <v>21</v>
      </c>
      <c r="L38" t="s">
        <v>50</v>
      </c>
      <c r="M38" t="s">
        <v>22</v>
      </c>
      <c r="N38" t="s">
        <v>23</v>
      </c>
      <c r="P38">
        <f>SENSEX!X11</f>
        <v>225</v>
      </c>
      <c r="Q38">
        <f t="shared" si="1"/>
        <v>223</v>
      </c>
      <c r="R38">
        <f>SENSEX!E11</f>
        <v>418</v>
      </c>
      <c r="S38">
        <f t="shared" si="2"/>
        <v>415</v>
      </c>
    </row>
    <row r="39" spans="1:19" x14ac:dyDescent="0.35">
      <c r="A39" t="str">
        <f>SENSEX!Q12</f>
        <v>SENSEX25D1884900PE</v>
      </c>
      <c r="B39" t="s">
        <v>26</v>
      </c>
      <c r="C39" t="s">
        <v>29</v>
      </c>
      <c r="D39">
        <v>40</v>
      </c>
      <c r="E39" t="s">
        <v>24</v>
      </c>
      <c r="F39" t="s">
        <v>25</v>
      </c>
      <c r="H39" t="s">
        <v>27</v>
      </c>
      <c r="I39" t="s">
        <v>20</v>
      </c>
      <c r="J39" t="s">
        <v>21</v>
      </c>
      <c r="L39" t="s">
        <v>50</v>
      </c>
      <c r="M39" t="s">
        <v>22</v>
      </c>
      <c r="N39" t="s">
        <v>23</v>
      </c>
      <c r="P39">
        <f>SENSEX!X12</f>
        <v>225</v>
      </c>
      <c r="Q39">
        <f t="shared" si="1"/>
        <v>223</v>
      </c>
      <c r="R39">
        <f>SENSEX!E12</f>
        <v>418</v>
      </c>
      <c r="S39">
        <f t="shared" si="2"/>
        <v>415</v>
      </c>
    </row>
    <row r="40" spans="1:19" x14ac:dyDescent="0.35">
      <c r="A40" t="str">
        <f>SENSEX!Q13</f>
        <v>SENSEX25D1884800PE</v>
      </c>
      <c r="B40" t="s">
        <v>26</v>
      </c>
      <c r="C40" t="s">
        <v>29</v>
      </c>
      <c r="D40">
        <v>40</v>
      </c>
      <c r="E40" t="s">
        <v>24</v>
      </c>
      <c r="F40" t="s">
        <v>25</v>
      </c>
      <c r="H40" t="s">
        <v>27</v>
      </c>
      <c r="I40" t="s">
        <v>20</v>
      </c>
      <c r="J40" t="s">
        <v>21</v>
      </c>
      <c r="L40" t="s">
        <v>50</v>
      </c>
      <c r="M40" t="s">
        <v>22</v>
      </c>
      <c r="N40" t="s">
        <v>23</v>
      </c>
      <c r="P40">
        <f>SENSEX!X13</f>
        <v>225</v>
      </c>
      <c r="Q40">
        <f t="shared" si="1"/>
        <v>223</v>
      </c>
      <c r="R40">
        <f>SENSEX!E13</f>
        <v>418</v>
      </c>
      <c r="S40">
        <f t="shared" si="2"/>
        <v>415</v>
      </c>
    </row>
    <row r="41" spans="1:19" x14ac:dyDescent="0.35">
      <c r="A41" t="str">
        <f>SENSEX!Q14</f>
        <v>SENSEX25D1884700PE</v>
      </c>
      <c r="B41" t="s">
        <v>26</v>
      </c>
      <c r="C41" t="s">
        <v>29</v>
      </c>
      <c r="D41">
        <v>40</v>
      </c>
      <c r="E41" t="s">
        <v>24</v>
      </c>
      <c r="F41" t="s">
        <v>25</v>
      </c>
      <c r="H41" t="s">
        <v>27</v>
      </c>
      <c r="I41" t="s">
        <v>20</v>
      </c>
      <c r="J41" t="s">
        <v>21</v>
      </c>
      <c r="L41" t="s">
        <v>50</v>
      </c>
      <c r="M41" t="s">
        <v>22</v>
      </c>
      <c r="N41" t="s">
        <v>23</v>
      </c>
      <c r="P41">
        <f>SENSEX!X14</f>
        <v>225</v>
      </c>
      <c r="Q41">
        <f t="shared" si="1"/>
        <v>223</v>
      </c>
      <c r="R41">
        <f>SENSEX!E14</f>
        <v>418</v>
      </c>
      <c r="S41">
        <f t="shared" si="2"/>
        <v>415</v>
      </c>
    </row>
    <row r="42" spans="1:19" x14ac:dyDescent="0.35">
      <c r="A42" t="str">
        <f>SENSEX!Q15</f>
        <v>SENSEX25D1884600PE</v>
      </c>
      <c r="B42" t="s">
        <v>26</v>
      </c>
      <c r="C42" t="s">
        <v>29</v>
      </c>
      <c r="D42">
        <v>40</v>
      </c>
      <c r="E42" t="s">
        <v>24</v>
      </c>
      <c r="F42" t="s">
        <v>25</v>
      </c>
      <c r="H42" t="s">
        <v>27</v>
      </c>
      <c r="I42" t="s">
        <v>20</v>
      </c>
      <c r="J42" t="s">
        <v>21</v>
      </c>
      <c r="L42" t="s">
        <v>50</v>
      </c>
      <c r="M42" t="s">
        <v>22</v>
      </c>
      <c r="N42" t="s">
        <v>23</v>
      </c>
      <c r="P42">
        <f>SENSEX!X15</f>
        <v>225</v>
      </c>
      <c r="Q42">
        <f t="shared" si="1"/>
        <v>223</v>
      </c>
      <c r="R42">
        <f>SENSEX!E15</f>
        <v>388</v>
      </c>
      <c r="S42">
        <f t="shared" si="2"/>
        <v>385</v>
      </c>
    </row>
    <row r="43" spans="1:19" x14ac:dyDescent="0.35">
      <c r="A43" t="str">
        <f>SENSEX!Q16</f>
        <v>SENSEX25D1884300PE</v>
      </c>
      <c r="B43" t="s">
        <v>26</v>
      </c>
      <c r="C43" t="s">
        <v>29</v>
      </c>
      <c r="D43">
        <v>40</v>
      </c>
      <c r="E43" t="s">
        <v>24</v>
      </c>
      <c r="F43" t="s">
        <v>25</v>
      </c>
      <c r="H43" t="s">
        <v>27</v>
      </c>
      <c r="I43" t="s">
        <v>20</v>
      </c>
      <c r="J43" t="s">
        <v>21</v>
      </c>
      <c r="L43" t="s">
        <v>50</v>
      </c>
      <c r="M43" t="s">
        <v>22</v>
      </c>
      <c r="N43" t="s">
        <v>23</v>
      </c>
      <c r="P43">
        <f>SENSEX!X16</f>
        <v>110</v>
      </c>
      <c r="Q43">
        <f t="shared" si="1"/>
        <v>108</v>
      </c>
      <c r="R43">
        <f>SENSEX!E16</f>
        <v>218</v>
      </c>
      <c r="S43">
        <f t="shared" si="2"/>
        <v>215</v>
      </c>
    </row>
    <row r="44" spans="1:19" x14ac:dyDescent="0.35">
      <c r="A44" t="str">
        <f>SENSEX!Q17</f>
        <v>SENSEX25D1884000PE</v>
      </c>
      <c r="B44" t="s">
        <v>26</v>
      </c>
      <c r="C44" t="s">
        <v>29</v>
      </c>
      <c r="D44">
        <v>40</v>
      </c>
      <c r="E44" t="s">
        <v>24</v>
      </c>
      <c r="F44" t="s">
        <v>25</v>
      </c>
      <c r="H44" t="s">
        <v>27</v>
      </c>
      <c r="I44" t="s">
        <v>20</v>
      </c>
      <c r="J44" t="s">
        <v>21</v>
      </c>
      <c r="L44" t="s">
        <v>50</v>
      </c>
      <c r="M44" t="s">
        <v>22</v>
      </c>
      <c r="N44" t="s">
        <v>23</v>
      </c>
      <c r="P44">
        <f>SENSEX!X17</f>
        <v>3</v>
      </c>
      <c r="Q44">
        <f t="shared" si="1"/>
        <v>1</v>
      </c>
      <c r="R44">
        <f>SENSEX!E17</f>
        <v>138</v>
      </c>
      <c r="S44">
        <f t="shared" si="2"/>
        <v>135</v>
      </c>
    </row>
    <row r="45" spans="1:19" x14ac:dyDescent="0.35">
      <c r="A45" t="str">
        <f>SENSEX!Q18</f>
        <v>SENSEX25D1883800PE</v>
      </c>
      <c r="B45" t="s">
        <v>26</v>
      </c>
      <c r="C45" t="s">
        <v>29</v>
      </c>
      <c r="D45">
        <v>40</v>
      </c>
      <c r="E45" t="s">
        <v>24</v>
      </c>
      <c r="F45" t="s">
        <v>25</v>
      </c>
      <c r="H45" t="s">
        <v>27</v>
      </c>
      <c r="I45" t="s">
        <v>20</v>
      </c>
      <c r="J45" t="s">
        <v>21</v>
      </c>
      <c r="L45" t="s">
        <v>50</v>
      </c>
      <c r="M45" t="s">
        <v>22</v>
      </c>
      <c r="N45" t="s">
        <v>23</v>
      </c>
      <c r="P45">
        <f>SENSEX!X18</f>
        <v>110</v>
      </c>
      <c r="Q45">
        <f t="shared" si="1"/>
        <v>108</v>
      </c>
      <c r="R45">
        <f>SENSEX!E18</f>
        <v>218</v>
      </c>
      <c r="S45">
        <f t="shared" si="2"/>
        <v>215</v>
      </c>
    </row>
    <row r="46" spans="1:19" x14ac:dyDescent="0.35">
      <c r="A46" t="str">
        <f>SENSEX!Q19</f>
        <v>SENSEX25D1883800CE</v>
      </c>
      <c r="B46" t="s">
        <v>26</v>
      </c>
      <c r="C46" t="s">
        <v>29</v>
      </c>
      <c r="D46">
        <v>40</v>
      </c>
      <c r="E46" t="s">
        <v>24</v>
      </c>
      <c r="F46" t="s">
        <v>25</v>
      </c>
      <c r="H46" t="s">
        <v>27</v>
      </c>
      <c r="I46" t="s">
        <v>20</v>
      </c>
      <c r="J46" t="s">
        <v>21</v>
      </c>
      <c r="L46" t="s">
        <v>50</v>
      </c>
      <c r="M46" t="s">
        <v>22</v>
      </c>
      <c r="N46" t="s">
        <v>23</v>
      </c>
      <c r="P46">
        <f>SENSEX!X19</f>
        <v>225</v>
      </c>
      <c r="Q46">
        <f t="shared" si="1"/>
        <v>223</v>
      </c>
      <c r="R46">
        <f>SENSEX!E19</f>
        <v>418</v>
      </c>
      <c r="S46">
        <f t="shared" si="2"/>
        <v>415</v>
      </c>
    </row>
    <row r="47" spans="1:19" x14ac:dyDescent="0.35">
      <c r="A47" t="str">
        <f>SENSEX!Q20</f>
        <v>SENSEX25D1883900CE</v>
      </c>
      <c r="B47" t="s">
        <v>26</v>
      </c>
      <c r="C47" t="s">
        <v>29</v>
      </c>
      <c r="D47">
        <v>40</v>
      </c>
      <c r="E47" t="s">
        <v>24</v>
      </c>
      <c r="F47" t="s">
        <v>25</v>
      </c>
      <c r="H47" t="s">
        <v>27</v>
      </c>
      <c r="I47" t="s">
        <v>20</v>
      </c>
      <c r="J47" t="s">
        <v>21</v>
      </c>
      <c r="L47" t="s">
        <v>50</v>
      </c>
      <c r="M47" t="s">
        <v>22</v>
      </c>
      <c r="N47" t="s">
        <v>23</v>
      </c>
      <c r="P47">
        <f>SENSEX!X20</f>
        <v>225</v>
      </c>
      <c r="Q47">
        <f t="shared" si="1"/>
        <v>223</v>
      </c>
      <c r="R47">
        <f>SENSEX!E20</f>
        <v>418</v>
      </c>
      <c r="S47">
        <f t="shared" si="2"/>
        <v>415</v>
      </c>
    </row>
    <row r="48" spans="1:19" x14ac:dyDescent="0.35">
      <c r="A48" t="str">
        <f>SENSEX!Q21</f>
        <v>SENSEX25D1884000CE</v>
      </c>
      <c r="B48" t="s">
        <v>26</v>
      </c>
      <c r="C48" t="s">
        <v>29</v>
      </c>
      <c r="D48">
        <v>40</v>
      </c>
      <c r="E48" t="s">
        <v>24</v>
      </c>
      <c r="F48" t="s">
        <v>25</v>
      </c>
      <c r="H48" t="s">
        <v>27</v>
      </c>
      <c r="I48" t="s">
        <v>20</v>
      </c>
      <c r="J48" t="s">
        <v>21</v>
      </c>
      <c r="L48" t="s">
        <v>50</v>
      </c>
      <c r="M48" t="s">
        <v>22</v>
      </c>
      <c r="N48" t="s">
        <v>23</v>
      </c>
      <c r="P48">
        <f>SENSEX!X21</f>
        <v>225</v>
      </c>
      <c r="Q48">
        <f t="shared" si="1"/>
        <v>223</v>
      </c>
      <c r="R48">
        <f>SENSEX!E21</f>
        <v>388</v>
      </c>
      <c r="S48">
        <f t="shared" si="2"/>
        <v>385</v>
      </c>
    </row>
    <row r="49" spans="1:19" x14ac:dyDescent="0.35">
      <c r="A49" t="str">
        <f>SENSEX!Q22</f>
        <v>SENSEX25D1884300CE</v>
      </c>
      <c r="B49" t="s">
        <v>26</v>
      </c>
      <c r="C49" t="s">
        <v>29</v>
      </c>
      <c r="D49">
        <v>40</v>
      </c>
      <c r="E49" t="s">
        <v>24</v>
      </c>
      <c r="F49" t="s">
        <v>25</v>
      </c>
      <c r="H49" t="s">
        <v>27</v>
      </c>
      <c r="I49" t="s">
        <v>20</v>
      </c>
      <c r="J49" t="s">
        <v>21</v>
      </c>
      <c r="L49" t="s">
        <v>50</v>
      </c>
      <c r="M49" t="s">
        <v>22</v>
      </c>
      <c r="N49" t="s">
        <v>23</v>
      </c>
      <c r="P49">
        <f>SENSEX!X22</f>
        <v>110</v>
      </c>
      <c r="Q49">
        <f t="shared" si="1"/>
        <v>108</v>
      </c>
      <c r="R49">
        <f>SENSEX!E22</f>
        <v>218</v>
      </c>
      <c r="S49">
        <f t="shared" si="2"/>
        <v>215</v>
      </c>
    </row>
    <row r="50" spans="1:19" x14ac:dyDescent="0.35">
      <c r="A50" t="str">
        <f>SENSEX!Q23</f>
        <v>SENSEX25D1884600CE</v>
      </c>
      <c r="B50" t="s">
        <v>26</v>
      </c>
      <c r="C50" t="s">
        <v>29</v>
      </c>
      <c r="D50">
        <v>40</v>
      </c>
      <c r="E50" t="s">
        <v>24</v>
      </c>
      <c r="F50" t="s">
        <v>25</v>
      </c>
      <c r="H50" t="s">
        <v>27</v>
      </c>
      <c r="I50" t="s">
        <v>20</v>
      </c>
      <c r="J50" t="s">
        <v>21</v>
      </c>
      <c r="L50" t="s">
        <v>50</v>
      </c>
      <c r="M50" t="s">
        <v>22</v>
      </c>
      <c r="N50" t="s">
        <v>23</v>
      </c>
      <c r="P50">
        <f>SENSEX!X23</f>
        <v>3</v>
      </c>
      <c r="Q50">
        <f t="shared" si="1"/>
        <v>1</v>
      </c>
      <c r="R50">
        <f>SENSEX!E23</f>
        <v>138</v>
      </c>
      <c r="S50">
        <f t="shared" si="2"/>
        <v>135</v>
      </c>
    </row>
    <row r="51" spans="1:19" x14ac:dyDescent="0.35">
      <c r="A51" t="str">
        <f>SENSEX!Q24</f>
        <v>SENSEX25D1884800CE</v>
      </c>
      <c r="B51" t="s">
        <v>26</v>
      </c>
      <c r="C51" t="s">
        <v>29</v>
      </c>
      <c r="D51">
        <v>40</v>
      </c>
      <c r="E51" t="s">
        <v>24</v>
      </c>
      <c r="F51" t="s">
        <v>25</v>
      </c>
      <c r="H51" t="s">
        <v>27</v>
      </c>
      <c r="I51" t="s">
        <v>20</v>
      </c>
      <c r="J51" t="s">
        <v>21</v>
      </c>
      <c r="L51" t="s">
        <v>50</v>
      </c>
      <c r="M51" t="s">
        <v>22</v>
      </c>
      <c r="N51" t="s">
        <v>23</v>
      </c>
      <c r="P51">
        <f>SENSEX!X24</f>
        <v>110</v>
      </c>
      <c r="Q51">
        <f t="shared" si="1"/>
        <v>108</v>
      </c>
      <c r="R51">
        <f>SENSEX!E24</f>
        <v>218</v>
      </c>
      <c r="S51">
        <f t="shared" si="2"/>
        <v>215</v>
      </c>
    </row>
    <row r="52" spans="1:19" x14ac:dyDescent="0.35">
      <c r="A52" t="str">
        <f>SENSEX!Q25</f>
        <v>SENSEX25D1885800PE</v>
      </c>
      <c r="B52" t="s">
        <v>26</v>
      </c>
      <c r="C52" t="s">
        <v>29</v>
      </c>
      <c r="D52">
        <v>40</v>
      </c>
      <c r="E52" t="s">
        <v>24</v>
      </c>
      <c r="F52" t="s">
        <v>25</v>
      </c>
      <c r="H52" t="s">
        <v>27</v>
      </c>
      <c r="I52" t="s">
        <v>20</v>
      </c>
      <c r="J52" t="s">
        <v>21</v>
      </c>
      <c r="L52" t="s">
        <v>50</v>
      </c>
      <c r="M52" t="s">
        <v>22</v>
      </c>
      <c r="N52" t="s">
        <v>23</v>
      </c>
      <c r="P52">
        <f>SENSEX!X25</f>
        <v>225</v>
      </c>
      <c r="Q52">
        <f t="shared" si="1"/>
        <v>223</v>
      </c>
      <c r="R52">
        <f>SENSEX!E25</f>
        <v>418</v>
      </c>
      <c r="S52">
        <f t="shared" si="2"/>
        <v>415</v>
      </c>
    </row>
    <row r="53" spans="1:19" x14ac:dyDescent="0.35">
      <c r="A53" t="str">
        <f>SENSEX!Q26</f>
        <v>SENSEX25D1885700PE</v>
      </c>
      <c r="B53" t="s">
        <v>26</v>
      </c>
      <c r="C53" t="s">
        <v>29</v>
      </c>
      <c r="D53">
        <v>40</v>
      </c>
      <c r="E53" t="s">
        <v>24</v>
      </c>
      <c r="F53" t="s">
        <v>25</v>
      </c>
      <c r="H53" t="s">
        <v>27</v>
      </c>
      <c r="I53" t="s">
        <v>20</v>
      </c>
      <c r="J53" t="s">
        <v>21</v>
      </c>
      <c r="L53" t="s">
        <v>50</v>
      </c>
      <c r="M53" t="s">
        <v>22</v>
      </c>
      <c r="N53" t="s">
        <v>23</v>
      </c>
      <c r="P53">
        <f>SENSEX!X26</f>
        <v>225</v>
      </c>
      <c r="Q53">
        <f t="shared" si="1"/>
        <v>223</v>
      </c>
      <c r="R53">
        <f>SENSEX!E26</f>
        <v>418</v>
      </c>
      <c r="S53">
        <f t="shared" si="2"/>
        <v>415</v>
      </c>
    </row>
    <row r="54" spans="1:19" x14ac:dyDescent="0.35">
      <c r="A54" t="str">
        <f>SENSEX!Q27</f>
        <v>SENSEX25D1885600PE</v>
      </c>
      <c r="B54" t="s">
        <v>26</v>
      </c>
      <c r="C54" t="s">
        <v>29</v>
      </c>
      <c r="D54">
        <v>40</v>
      </c>
      <c r="E54" t="s">
        <v>24</v>
      </c>
      <c r="F54" t="s">
        <v>25</v>
      </c>
      <c r="H54" t="s">
        <v>27</v>
      </c>
      <c r="I54" t="s">
        <v>20</v>
      </c>
      <c r="J54" t="s">
        <v>21</v>
      </c>
      <c r="L54" t="s">
        <v>50</v>
      </c>
      <c r="M54" t="s">
        <v>22</v>
      </c>
      <c r="N54" t="s">
        <v>23</v>
      </c>
      <c r="P54">
        <f>SENSEX!X27</f>
        <v>225</v>
      </c>
      <c r="Q54">
        <f t="shared" si="1"/>
        <v>223</v>
      </c>
      <c r="R54">
        <f>SENSEX!E27</f>
        <v>388</v>
      </c>
      <c r="S54">
        <f t="shared" si="2"/>
        <v>385</v>
      </c>
    </row>
    <row r="55" spans="1:19" x14ac:dyDescent="0.35">
      <c r="A55" t="str">
        <f>SENSEX!Q28</f>
        <v>SENSEX25D1885300PE</v>
      </c>
      <c r="B55" t="s">
        <v>26</v>
      </c>
      <c r="C55" t="s">
        <v>29</v>
      </c>
      <c r="D55">
        <v>40</v>
      </c>
      <c r="E55" t="s">
        <v>24</v>
      </c>
      <c r="F55" t="s">
        <v>25</v>
      </c>
      <c r="H55" t="s">
        <v>27</v>
      </c>
      <c r="I55" t="s">
        <v>20</v>
      </c>
      <c r="J55" t="s">
        <v>21</v>
      </c>
      <c r="L55" t="s">
        <v>50</v>
      </c>
      <c r="M55" t="s">
        <v>22</v>
      </c>
      <c r="N55" t="s">
        <v>23</v>
      </c>
      <c r="P55">
        <f>SENSEX!X28</f>
        <v>110</v>
      </c>
      <c r="Q55">
        <f t="shared" si="1"/>
        <v>108</v>
      </c>
      <c r="R55">
        <f>SENSEX!E28</f>
        <v>218</v>
      </c>
      <c r="S55">
        <f t="shared" si="2"/>
        <v>215</v>
      </c>
    </row>
    <row r="56" spans="1:19" x14ac:dyDescent="0.35">
      <c r="A56" t="str">
        <f>SENSEX!Q29</f>
        <v>SENSEX25D1885000PE</v>
      </c>
      <c r="B56" t="s">
        <v>26</v>
      </c>
      <c r="C56" t="s">
        <v>29</v>
      </c>
      <c r="D56">
        <v>40</v>
      </c>
      <c r="E56" t="s">
        <v>24</v>
      </c>
      <c r="F56" t="s">
        <v>25</v>
      </c>
      <c r="H56" t="s">
        <v>27</v>
      </c>
      <c r="I56" t="s">
        <v>20</v>
      </c>
      <c r="J56" t="s">
        <v>21</v>
      </c>
      <c r="L56" t="s">
        <v>50</v>
      </c>
      <c r="M56" t="s">
        <v>22</v>
      </c>
      <c r="N56" t="s">
        <v>23</v>
      </c>
      <c r="P56">
        <f>SENSEX!X29</f>
        <v>3</v>
      </c>
      <c r="Q56">
        <f t="shared" si="1"/>
        <v>1</v>
      </c>
      <c r="R56">
        <f>SENSEX!E29</f>
        <v>138</v>
      </c>
      <c r="S56">
        <f t="shared" si="2"/>
        <v>135</v>
      </c>
    </row>
    <row r="57" spans="1:19" x14ac:dyDescent="0.35">
      <c r="A57" t="str">
        <f>SENSEX!Q30</f>
        <v>SENSEX25D1884800PE</v>
      </c>
      <c r="B57" t="s">
        <v>26</v>
      </c>
      <c r="C57" t="s">
        <v>29</v>
      </c>
      <c r="D57">
        <v>40</v>
      </c>
      <c r="E57" t="s">
        <v>24</v>
      </c>
      <c r="F57" t="s">
        <v>25</v>
      </c>
      <c r="H57" t="s">
        <v>27</v>
      </c>
      <c r="I57" t="s">
        <v>20</v>
      </c>
      <c r="J57" t="s">
        <v>21</v>
      </c>
      <c r="L57" t="s">
        <v>50</v>
      </c>
      <c r="M57" t="s">
        <v>22</v>
      </c>
      <c r="N57" t="s">
        <v>23</v>
      </c>
      <c r="P57">
        <f>SENSEX!X30</f>
        <v>110</v>
      </c>
      <c r="Q57">
        <f t="shared" si="1"/>
        <v>108</v>
      </c>
      <c r="R57">
        <f>SENSEX!E30</f>
        <v>218</v>
      </c>
      <c r="S57">
        <f t="shared" si="2"/>
        <v>215</v>
      </c>
    </row>
    <row r="58" spans="1:19" x14ac:dyDescent="0.35">
      <c r="A58" t="str">
        <f>SENSEX!Q3</f>
        <v>SENSEX25D1884600CE</v>
      </c>
      <c r="B58" t="s">
        <v>26</v>
      </c>
      <c r="C58" t="s">
        <v>29</v>
      </c>
      <c r="D58">
        <v>20</v>
      </c>
      <c r="E58" t="s">
        <v>24</v>
      </c>
      <c r="F58" t="s">
        <v>25</v>
      </c>
      <c r="H58" t="s">
        <v>27</v>
      </c>
      <c r="I58" t="s">
        <v>20</v>
      </c>
      <c r="J58" t="s">
        <v>21</v>
      </c>
      <c r="L58" t="s">
        <v>50</v>
      </c>
      <c r="M58" t="s">
        <v>22</v>
      </c>
      <c r="N58" t="s">
        <v>23</v>
      </c>
      <c r="P58">
        <f>SENSEX!X3</f>
        <v>225</v>
      </c>
      <c r="Q58">
        <f>P58-2</f>
        <v>223</v>
      </c>
      <c r="R58">
        <f>SENSEX!R3</f>
        <v>495</v>
      </c>
      <c r="S58">
        <f>R58-3</f>
        <v>492</v>
      </c>
    </row>
    <row r="59" spans="1:19" x14ac:dyDescent="0.35">
      <c r="A59" t="str">
        <f>SENSEX!Q4</f>
        <v>SENSEX25D1884700CE</v>
      </c>
      <c r="B59" t="s">
        <v>26</v>
      </c>
      <c r="C59" t="s">
        <v>29</v>
      </c>
      <c r="D59">
        <v>20</v>
      </c>
      <c r="E59" t="s">
        <v>24</v>
      </c>
      <c r="F59" t="s">
        <v>25</v>
      </c>
      <c r="H59" t="s">
        <v>27</v>
      </c>
      <c r="I59" t="s">
        <v>20</v>
      </c>
      <c r="J59" t="s">
        <v>21</v>
      </c>
      <c r="L59" t="s">
        <v>50</v>
      </c>
      <c r="M59" t="s">
        <v>22</v>
      </c>
      <c r="N59" t="s">
        <v>23</v>
      </c>
      <c r="P59">
        <f>SENSEX!X4</f>
        <v>225</v>
      </c>
      <c r="Q59">
        <f t="shared" ref="Q59:Q85" si="3">P59-2</f>
        <v>223</v>
      </c>
      <c r="R59">
        <f>SENSEX!R4</f>
        <v>495</v>
      </c>
      <c r="S59">
        <f t="shared" ref="S59:S85" si="4">R59-3</f>
        <v>492</v>
      </c>
    </row>
    <row r="60" spans="1:19" x14ac:dyDescent="0.35">
      <c r="A60" t="str">
        <f>SENSEX!Q5</f>
        <v>SENSEX25D1884800CE</v>
      </c>
      <c r="B60" t="s">
        <v>26</v>
      </c>
      <c r="C60" t="s">
        <v>29</v>
      </c>
      <c r="D60">
        <v>20</v>
      </c>
      <c r="E60" t="s">
        <v>24</v>
      </c>
      <c r="F60" t="s">
        <v>25</v>
      </c>
      <c r="H60" t="s">
        <v>27</v>
      </c>
      <c r="I60" t="s">
        <v>20</v>
      </c>
      <c r="J60" t="s">
        <v>21</v>
      </c>
      <c r="L60" t="s">
        <v>50</v>
      </c>
      <c r="M60" t="s">
        <v>22</v>
      </c>
      <c r="N60" t="s">
        <v>23</v>
      </c>
      <c r="P60">
        <f>SENSEX!X5</f>
        <v>225</v>
      </c>
      <c r="Q60">
        <f t="shared" si="3"/>
        <v>223</v>
      </c>
      <c r="R60">
        <f>SENSEX!R5</f>
        <v>495</v>
      </c>
      <c r="S60">
        <f t="shared" si="4"/>
        <v>492</v>
      </c>
    </row>
    <row r="61" spans="1:19" x14ac:dyDescent="0.35">
      <c r="A61" t="str">
        <f>SENSEX!Q6</f>
        <v>SENSEX25D1884900CE</v>
      </c>
      <c r="B61" t="s">
        <v>26</v>
      </c>
      <c r="C61" t="s">
        <v>29</v>
      </c>
      <c r="D61">
        <v>20</v>
      </c>
      <c r="E61" t="s">
        <v>24</v>
      </c>
      <c r="F61" t="s">
        <v>25</v>
      </c>
      <c r="H61" t="s">
        <v>27</v>
      </c>
      <c r="I61" t="s">
        <v>20</v>
      </c>
      <c r="J61" t="s">
        <v>21</v>
      </c>
      <c r="L61" t="s">
        <v>50</v>
      </c>
      <c r="M61" t="s">
        <v>22</v>
      </c>
      <c r="N61" t="s">
        <v>23</v>
      </c>
      <c r="P61">
        <f>SENSEX!X6</f>
        <v>225</v>
      </c>
      <c r="Q61">
        <f t="shared" si="3"/>
        <v>223</v>
      </c>
      <c r="R61">
        <f>SENSEX!R6</f>
        <v>495</v>
      </c>
      <c r="S61">
        <f t="shared" si="4"/>
        <v>492</v>
      </c>
    </row>
    <row r="62" spans="1:19" x14ac:dyDescent="0.35">
      <c r="A62" t="str">
        <f>SENSEX!Q7</f>
        <v>SENSEX25D1885000CE</v>
      </c>
      <c r="B62" t="s">
        <v>26</v>
      </c>
      <c r="C62" t="s">
        <v>29</v>
      </c>
      <c r="D62">
        <v>20</v>
      </c>
      <c r="E62" t="s">
        <v>24</v>
      </c>
      <c r="F62" t="s">
        <v>25</v>
      </c>
      <c r="H62" t="s">
        <v>27</v>
      </c>
      <c r="I62" t="s">
        <v>20</v>
      </c>
      <c r="J62" t="s">
        <v>21</v>
      </c>
      <c r="L62" t="s">
        <v>50</v>
      </c>
      <c r="M62" t="s">
        <v>22</v>
      </c>
      <c r="N62" t="s">
        <v>23</v>
      </c>
      <c r="P62">
        <f>SENSEX!X7</f>
        <v>225</v>
      </c>
      <c r="Q62">
        <f t="shared" si="3"/>
        <v>223</v>
      </c>
      <c r="R62">
        <f>SENSEX!R7</f>
        <v>448</v>
      </c>
      <c r="S62">
        <f t="shared" si="4"/>
        <v>445</v>
      </c>
    </row>
    <row r="63" spans="1:19" x14ac:dyDescent="0.35">
      <c r="A63" t="str">
        <f>SENSEX!Q8</f>
        <v>SENSEX25D1885300CE</v>
      </c>
      <c r="B63" t="s">
        <v>26</v>
      </c>
      <c r="C63" t="s">
        <v>29</v>
      </c>
      <c r="D63">
        <v>20</v>
      </c>
      <c r="E63" t="s">
        <v>24</v>
      </c>
      <c r="F63" t="s">
        <v>25</v>
      </c>
      <c r="H63" t="s">
        <v>27</v>
      </c>
      <c r="I63" t="s">
        <v>20</v>
      </c>
      <c r="J63" t="s">
        <v>21</v>
      </c>
      <c r="L63" t="s">
        <v>50</v>
      </c>
      <c r="M63" t="s">
        <v>22</v>
      </c>
      <c r="N63" t="s">
        <v>23</v>
      </c>
      <c r="P63">
        <f>SENSEX!X8</f>
        <v>110</v>
      </c>
      <c r="Q63">
        <f t="shared" si="3"/>
        <v>108</v>
      </c>
      <c r="R63">
        <f>SENSEX!R8</f>
        <v>238</v>
      </c>
      <c r="S63">
        <f t="shared" si="4"/>
        <v>235</v>
      </c>
    </row>
    <row r="64" spans="1:19" x14ac:dyDescent="0.35">
      <c r="A64" t="str">
        <f>SENSEX!Q9</f>
        <v>SENSEX25D1885600CE</v>
      </c>
      <c r="B64" t="s">
        <v>26</v>
      </c>
      <c r="C64" t="s">
        <v>29</v>
      </c>
      <c r="D64">
        <v>20</v>
      </c>
      <c r="E64" t="s">
        <v>24</v>
      </c>
      <c r="F64" t="s">
        <v>25</v>
      </c>
      <c r="H64" t="s">
        <v>27</v>
      </c>
      <c r="I64" t="s">
        <v>20</v>
      </c>
      <c r="J64" t="s">
        <v>21</v>
      </c>
      <c r="L64" t="s">
        <v>50</v>
      </c>
      <c r="M64" t="s">
        <v>22</v>
      </c>
      <c r="N64" t="s">
        <v>23</v>
      </c>
      <c r="P64">
        <f>SENSEX!X9</f>
        <v>3</v>
      </c>
      <c r="Q64">
        <f t="shared" si="3"/>
        <v>1</v>
      </c>
      <c r="R64">
        <f>SENSEX!R9</f>
        <v>168</v>
      </c>
      <c r="S64">
        <f t="shared" si="4"/>
        <v>165</v>
      </c>
    </row>
    <row r="65" spans="1:19" x14ac:dyDescent="0.35">
      <c r="A65" t="str">
        <f>SENSEX!Q10</f>
        <v>SENSEX25D1885800CE</v>
      </c>
      <c r="B65" t="s">
        <v>26</v>
      </c>
      <c r="C65" t="s">
        <v>29</v>
      </c>
      <c r="D65">
        <v>20</v>
      </c>
      <c r="E65" t="s">
        <v>24</v>
      </c>
      <c r="F65" t="s">
        <v>25</v>
      </c>
      <c r="H65" t="s">
        <v>27</v>
      </c>
      <c r="I65" t="s">
        <v>20</v>
      </c>
      <c r="J65" t="s">
        <v>21</v>
      </c>
      <c r="L65" t="s">
        <v>50</v>
      </c>
      <c r="M65" t="s">
        <v>22</v>
      </c>
      <c r="N65" t="s">
        <v>23</v>
      </c>
      <c r="P65">
        <f>SENSEX!X10</f>
        <v>110</v>
      </c>
      <c r="Q65">
        <f t="shared" si="3"/>
        <v>108</v>
      </c>
      <c r="R65">
        <f>SENSEX!R10</f>
        <v>238</v>
      </c>
      <c r="S65">
        <f t="shared" si="4"/>
        <v>235</v>
      </c>
    </row>
    <row r="66" spans="1:19" x14ac:dyDescent="0.35">
      <c r="A66" t="str">
        <f>SENSEX!Q11</f>
        <v>SENSEX25D1885000PE</v>
      </c>
      <c r="B66" t="s">
        <v>26</v>
      </c>
      <c r="C66" t="s">
        <v>29</v>
      </c>
      <c r="D66">
        <v>20</v>
      </c>
      <c r="E66" t="s">
        <v>24</v>
      </c>
      <c r="F66" t="s">
        <v>25</v>
      </c>
      <c r="H66" t="s">
        <v>27</v>
      </c>
      <c r="I66" t="s">
        <v>20</v>
      </c>
      <c r="J66" t="s">
        <v>21</v>
      </c>
      <c r="L66" t="s">
        <v>50</v>
      </c>
      <c r="M66" t="s">
        <v>22</v>
      </c>
      <c r="N66" t="s">
        <v>23</v>
      </c>
      <c r="P66">
        <f>SENSEX!X11</f>
        <v>225</v>
      </c>
      <c r="Q66">
        <f t="shared" si="3"/>
        <v>223</v>
      </c>
      <c r="R66">
        <f>SENSEX!R11</f>
        <v>495</v>
      </c>
      <c r="S66">
        <f t="shared" si="4"/>
        <v>492</v>
      </c>
    </row>
    <row r="67" spans="1:19" x14ac:dyDescent="0.35">
      <c r="A67" t="str">
        <f>SENSEX!Q12</f>
        <v>SENSEX25D1884900PE</v>
      </c>
      <c r="B67" t="s">
        <v>26</v>
      </c>
      <c r="C67" t="s">
        <v>29</v>
      </c>
      <c r="D67">
        <v>20</v>
      </c>
      <c r="E67" t="s">
        <v>24</v>
      </c>
      <c r="F67" t="s">
        <v>25</v>
      </c>
      <c r="H67" t="s">
        <v>27</v>
      </c>
      <c r="I67" t="s">
        <v>20</v>
      </c>
      <c r="J67" t="s">
        <v>21</v>
      </c>
      <c r="L67" t="s">
        <v>50</v>
      </c>
      <c r="M67" t="s">
        <v>22</v>
      </c>
      <c r="N67" t="s">
        <v>23</v>
      </c>
      <c r="P67">
        <f>SENSEX!X12</f>
        <v>225</v>
      </c>
      <c r="Q67">
        <f t="shared" si="3"/>
        <v>223</v>
      </c>
      <c r="R67">
        <f>SENSEX!R12</f>
        <v>495</v>
      </c>
      <c r="S67">
        <f t="shared" si="4"/>
        <v>492</v>
      </c>
    </row>
    <row r="68" spans="1:19" x14ac:dyDescent="0.35">
      <c r="A68" t="str">
        <f>SENSEX!Q13</f>
        <v>SENSEX25D1884800PE</v>
      </c>
      <c r="B68" t="s">
        <v>26</v>
      </c>
      <c r="C68" t="s">
        <v>29</v>
      </c>
      <c r="D68">
        <v>20</v>
      </c>
      <c r="E68" t="s">
        <v>24</v>
      </c>
      <c r="F68" t="s">
        <v>25</v>
      </c>
      <c r="H68" t="s">
        <v>27</v>
      </c>
      <c r="I68" t="s">
        <v>20</v>
      </c>
      <c r="J68" t="s">
        <v>21</v>
      </c>
      <c r="L68" t="s">
        <v>50</v>
      </c>
      <c r="M68" t="s">
        <v>22</v>
      </c>
      <c r="N68" t="s">
        <v>23</v>
      </c>
      <c r="P68">
        <f>SENSEX!X13</f>
        <v>225</v>
      </c>
      <c r="Q68">
        <f t="shared" si="3"/>
        <v>223</v>
      </c>
      <c r="R68">
        <f>SENSEX!R13</f>
        <v>495</v>
      </c>
      <c r="S68">
        <f t="shared" si="4"/>
        <v>492</v>
      </c>
    </row>
    <row r="69" spans="1:19" x14ac:dyDescent="0.35">
      <c r="A69" t="str">
        <f>SENSEX!Q14</f>
        <v>SENSEX25D1884700PE</v>
      </c>
      <c r="B69" t="s">
        <v>26</v>
      </c>
      <c r="C69" t="s">
        <v>29</v>
      </c>
      <c r="D69">
        <v>20</v>
      </c>
      <c r="E69" t="s">
        <v>24</v>
      </c>
      <c r="F69" t="s">
        <v>25</v>
      </c>
      <c r="H69" t="s">
        <v>27</v>
      </c>
      <c r="I69" t="s">
        <v>20</v>
      </c>
      <c r="J69" t="s">
        <v>21</v>
      </c>
      <c r="L69" t="s">
        <v>50</v>
      </c>
      <c r="M69" t="s">
        <v>22</v>
      </c>
      <c r="N69" t="s">
        <v>23</v>
      </c>
      <c r="P69">
        <f>SENSEX!X14</f>
        <v>225</v>
      </c>
      <c r="Q69">
        <f t="shared" si="3"/>
        <v>223</v>
      </c>
      <c r="R69">
        <f>SENSEX!R14</f>
        <v>495</v>
      </c>
      <c r="S69">
        <f t="shared" si="4"/>
        <v>492</v>
      </c>
    </row>
    <row r="70" spans="1:19" x14ac:dyDescent="0.35">
      <c r="A70" t="str">
        <f>SENSEX!Q15</f>
        <v>SENSEX25D1884600PE</v>
      </c>
      <c r="B70" t="s">
        <v>26</v>
      </c>
      <c r="C70" t="s">
        <v>29</v>
      </c>
      <c r="D70">
        <v>20</v>
      </c>
      <c r="E70" t="s">
        <v>24</v>
      </c>
      <c r="F70" t="s">
        <v>25</v>
      </c>
      <c r="H70" t="s">
        <v>27</v>
      </c>
      <c r="I70" t="s">
        <v>20</v>
      </c>
      <c r="J70" t="s">
        <v>21</v>
      </c>
      <c r="L70" t="s">
        <v>50</v>
      </c>
      <c r="M70" t="s">
        <v>22</v>
      </c>
      <c r="N70" t="s">
        <v>23</v>
      </c>
      <c r="P70">
        <f>SENSEX!X15</f>
        <v>225</v>
      </c>
      <c r="Q70">
        <f t="shared" si="3"/>
        <v>223</v>
      </c>
      <c r="R70">
        <f>SENSEX!R15</f>
        <v>448</v>
      </c>
      <c r="S70">
        <f t="shared" si="4"/>
        <v>445</v>
      </c>
    </row>
    <row r="71" spans="1:19" x14ac:dyDescent="0.35">
      <c r="A71" t="str">
        <f>SENSEX!Q16</f>
        <v>SENSEX25D1884300PE</v>
      </c>
      <c r="B71" t="s">
        <v>26</v>
      </c>
      <c r="C71" t="s">
        <v>29</v>
      </c>
      <c r="D71">
        <v>20</v>
      </c>
      <c r="E71" t="s">
        <v>24</v>
      </c>
      <c r="F71" t="s">
        <v>25</v>
      </c>
      <c r="H71" t="s">
        <v>27</v>
      </c>
      <c r="I71" t="s">
        <v>20</v>
      </c>
      <c r="J71" t="s">
        <v>21</v>
      </c>
      <c r="L71" t="s">
        <v>50</v>
      </c>
      <c r="M71" t="s">
        <v>22</v>
      </c>
      <c r="N71" t="s">
        <v>23</v>
      </c>
      <c r="P71">
        <f>SENSEX!X16</f>
        <v>110</v>
      </c>
      <c r="Q71">
        <f t="shared" si="3"/>
        <v>108</v>
      </c>
      <c r="R71">
        <f>SENSEX!R16</f>
        <v>238</v>
      </c>
      <c r="S71">
        <f t="shared" si="4"/>
        <v>235</v>
      </c>
    </row>
    <row r="72" spans="1:19" x14ac:dyDescent="0.35">
      <c r="A72" t="str">
        <f>SENSEX!Q17</f>
        <v>SENSEX25D1884000PE</v>
      </c>
      <c r="B72" t="s">
        <v>26</v>
      </c>
      <c r="C72" t="s">
        <v>29</v>
      </c>
      <c r="D72">
        <v>20</v>
      </c>
      <c r="E72" t="s">
        <v>24</v>
      </c>
      <c r="F72" t="s">
        <v>25</v>
      </c>
      <c r="H72" t="s">
        <v>27</v>
      </c>
      <c r="I72" t="s">
        <v>20</v>
      </c>
      <c r="J72" t="s">
        <v>21</v>
      </c>
      <c r="L72" t="s">
        <v>50</v>
      </c>
      <c r="M72" t="s">
        <v>22</v>
      </c>
      <c r="N72" t="s">
        <v>23</v>
      </c>
      <c r="P72">
        <f>SENSEX!X17</f>
        <v>3</v>
      </c>
      <c r="Q72">
        <f t="shared" si="3"/>
        <v>1</v>
      </c>
      <c r="R72">
        <f>SENSEX!R17</f>
        <v>168</v>
      </c>
      <c r="S72">
        <f t="shared" si="4"/>
        <v>165</v>
      </c>
    </row>
    <row r="73" spans="1:19" x14ac:dyDescent="0.35">
      <c r="A73" t="str">
        <f>SENSEX!Q18</f>
        <v>SENSEX25D1883800PE</v>
      </c>
      <c r="B73" t="s">
        <v>26</v>
      </c>
      <c r="C73" t="s">
        <v>29</v>
      </c>
      <c r="D73">
        <v>20</v>
      </c>
      <c r="E73" t="s">
        <v>24</v>
      </c>
      <c r="F73" t="s">
        <v>25</v>
      </c>
      <c r="H73" t="s">
        <v>27</v>
      </c>
      <c r="I73" t="s">
        <v>20</v>
      </c>
      <c r="J73" t="s">
        <v>21</v>
      </c>
      <c r="L73" t="s">
        <v>50</v>
      </c>
      <c r="M73" t="s">
        <v>22</v>
      </c>
      <c r="N73" t="s">
        <v>23</v>
      </c>
      <c r="P73">
        <f>SENSEX!X18</f>
        <v>110</v>
      </c>
      <c r="Q73">
        <f t="shared" si="3"/>
        <v>108</v>
      </c>
      <c r="R73">
        <f>SENSEX!R18</f>
        <v>238</v>
      </c>
      <c r="S73">
        <f t="shared" si="4"/>
        <v>235</v>
      </c>
    </row>
    <row r="74" spans="1:19" x14ac:dyDescent="0.35">
      <c r="A74" t="str">
        <f>SENSEX!Q19</f>
        <v>SENSEX25D1883800CE</v>
      </c>
      <c r="B74" t="s">
        <v>26</v>
      </c>
      <c r="C74" t="s">
        <v>29</v>
      </c>
      <c r="D74">
        <v>20</v>
      </c>
      <c r="E74" t="s">
        <v>24</v>
      </c>
      <c r="F74" t="s">
        <v>25</v>
      </c>
      <c r="H74" t="s">
        <v>27</v>
      </c>
      <c r="I74" t="s">
        <v>20</v>
      </c>
      <c r="J74" t="s">
        <v>21</v>
      </c>
      <c r="L74" t="s">
        <v>50</v>
      </c>
      <c r="M74" t="s">
        <v>22</v>
      </c>
      <c r="N74" t="s">
        <v>23</v>
      </c>
      <c r="P74">
        <f>SENSEX!X19</f>
        <v>225</v>
      </c>
      <c r="Q74">
        <f t="shared" si="3"/>
        <v>223</v>
      </c>
      <c r="R74">
        <f>SENSEX!R19</f>
        <v>495</v>
      </c>
      <c r="S74">
        <f t="shared" si="4"/>
        <v>492</v>
      </c>
    </row>
    <row r="75" spans="1:19" x14ac:dyDescent="0.35">
      <c r="A75" t="str">
        <f>SENSEX!Q20</f>
        <v>SENSEX25D1883900CE</v>
      </c>
      <c r="B75" t="s">
        <v>26</v>
      </c>
      <c r="C75" t="s">
        <v>29</v>
      </c>
      <c r="D75">
        <v>20</v>
      </c>
      <c r="E75" t="s">
        <v>24</v>
      </c>
      <c r="F75" t="s">
        <v>25</v>
      </c>
      <c r="H75" t="s">
        <v>27</v>
      </c>
      <c r="I75" t="s">
        <v>20</v>
      </c>
      <c r="J75" t="s">
        <v>21</v>
      </c>
      <c r="L75" t="s">
        <v>50</v>
      </c>
      <c r="M75" t="s">
        <v>22</v>
      </c>
      <c r="N75" t="s">
        <v>23</v>
      </c>
      <c r="P75">
        <f>SENSEX!X20</f>
        <v>225</v>
      </c>
      <c r="Q75">
        <f t="shared" si="3"/>
        <v>223</v>
      </c>
      <c r="R75">
        <f>SENSEX!R20</f>
        <v>495</v>
      </c>
      <c r="S75">
        <f t="shared" si="4"/>
        <v>492</v>
      </c>
    </row>
    <row r="76" spans="1:19" x14ac:dyDescent="0.35">
      <c r="A76" t="str">
        <f>SENSEX!Q21</f>
        <v>SENSEX25D1884000CE</v>
      </c>
      <c r="B76" t="s">
        <v>26</v>
      </c>
      <c r="C76" t="s">
        <v>29</v>
      </c>
      <c r="D76">
        <v>20</v>
      </c>
      <c r="E76" t="s">
        <v>24</v>
      </c>
      <c r="F76" t="s">
        <v>25</v>
      </c>
      <c r="H76" t="s">
        <v>27</v>
      </c>
      <c r="I76" t="s">
        <v>20</v>
      </c>
      <c r="J76" t="s">
        <v>21</v>
      </c>
      <c r="L76" t="s">
        <v>50</v>
      </c>
      <c r="M76" t="s">
        <v>22</v>
      </c>
      <c r="N76" t="s">
        <v>23</v>
      </c>
      <c r="P76">
        <f>SENSEX!X21</f>
        <v>225</v>
      </c>
      <c r="Q76">
        <f t="shared" si="3"/>
        <v>223</v>
      </c>
      <c r="R76">
        <f>SENSEX!R21</f>
        <v>448</v>
      </c>
      <c r="S76">
        <f t="shared" si="4"/>
        <v>445</v>
      </c>
    </row>
    <row r="77" spans="1:19" x14ac:dyDescent="0.35">
      <c r="A77" t="str">
        <f>SENSEX!Q22</f>
        <v>SENSEX25D1884300CE</v>
      </c>
      <c r="B77" t="s">
        <v>26</v>
      </c>
      <c r="C77" t="s">
        <v>29</v>
      </c>
      <c r="D77">
        <v>20</v>
      </c>
      <c r="E77" t="s">
        <v>24</v>
      </c>
      <c r="F77" t="s">
        <v>25</v>
      </c>
      <c r="H77" t="s">
        <v>27</v>
      </c>
      <c r="I77" t="s">
        <v>20</v>
      </c>
      <c r="J77" t="s">
        <v>21</v>
      </c>
      <c r="L77" t="s">
        <v>50</v>
      </c>
      <c r="M77" t="s">
        <v>22</v>
      </c>
      <c r="N77" t="s">
        <v>23</v>
      </c>
      <c r="P77">
        <f>SENSEX!X22</f>
        <v>110</v>
      </c>
      <c r="Q77">
        <f t="shared" si="3"/>
        <v>108</v>
      </c>
      <c r="R77">
        <f>SENSEX!R22</f>
        <v>238</v>
      </c>
      <c r="S77">
        <f t="shared" si="4"/>
        <v>235</v>
      </c>
    </row>
    <row r="78" spans="1:19" x14ac:dyDescent="0.35">
      <c r="A78" t="str">
        <f>SENSEX!Q23</f>
        <v>SENSEX25D1884600CE</v>
      </c>
      <c r="B78" t="s">
        <v>26</v>
      </c>
      <c r="C78" t="s">
        <v>29</v>
      </c>
      <c r="D78">
        <v>20</v>
      </c>
      <c r="E78" t="s">
        <v>24</v>
      </c>
      <c r="F78" t="s">
        <v>25</v>
      </c>
      <c r="H78" t="s">
        <v>27</v>
      </c>
      <c r="I78" t="s">
        <v>20</v>
      </c>
      <c r="J78" t="s">
        <v>21</v>
      </c>
      <c r="L78" t="s">
        <v>50</v>
      </c>
      <c r="M78" t="s">
        <v>22</v>
      </c>
      <c r="N78" t="s">
        <v>23</v>
      </c>
      <c r="P78">
        <f>SENSEX!X23</f>
        <v>3</v>
      </c>
      <c r="Q78">
        <f t="shared" si="3"/>
        <v>1</v>
      </c>
      <c r="R78">
        <f>SENSEX!R23</f>
        <v>168</v>
      </c>
      <c r="S78">
        <f t="shared" si="4"/>
        <v>165</v>
      </c>
    </row>
    <row r="79" spans="1:19" x14ac:dyDescent="0.35">
      <c r="A79" t="str">
        <f>SENSEX!Q24</f>
        <v>SENSEX25D1884800CE</v>
      </c>
      <c r="B79" t="s">
        <v>26</v>
      </c>
      <c r="C79" t="s">
        <v>29</v>
      </c>
      <c r="D79">
        <v>20</v>
      </c>
      <c r="E79" t="s">
        <v>24</v>
      </c>
      <c r="F79" t="s">
        <v>25</v>
      </c>
      <c r="H79" t="s">
        <v>27</v>
      </c>
      <c r="I79" t="s">
        <v>20</v>
      </c>
      <c r="J79" t="s">
        <v>21</v>
      </c>
      <c r="L79" t="s">
        <v>50</v>
      </c>
      <c r="M79" t="s">
        <v>22</v>
      </c>
      <c r="N79" t="s">
        <v>23</v>
      </c>
      <c r="P79">
        <f>SENSEX!X24</f>
        <v>110</v>
      </c>
      <c r="Q79">
        <f t="shared" si="3"/>
        <v>108</v>
      </c>
      <c r="R79">
        <f>SENSEX!R24</f>
        <v>238</v>
      </c>
      <c r="S79">
        <f t="shared" si="4"/>
        <v>235</v>
      </c>
    </row>
    <row r="80" spans="1:19" x14ac:dyDescent="0.35">
      <c r="A80" t="str">
        <f>SENSEX!Q25</f>
        <v>SENSEX25D1885800PE</v>
      </c>
      <c r="B80" t="s">
        <v>26</v>
      </c>
      <c r="C80" t="s">
        <v>29</v>
      </c>
      <c r="D80">
        <v>20</v>
      </c>
      <c r="E80" t="s">
        <v>24</v>
      </c>
      <c r="F80" t="s">
        <v>25</v>
      </c>
      <c r="H80" t="s">
        <v>27</v>
      </c>
      <c r="I80" t="s">
        <v>20</v>
      </c>
      <c r="J80" t="s">
        <v>21</v>
      </c>
      <c r="L80" t="s">
        <v>50</v>
      </c>
      <c r="M80" t="s">
        <v>22</v>
      </c>
      <c r="N80" t="s">
        <v>23</v>
      </c>
      <c r="P80">
        <f>SENSEX!X25</f>
        <v>225</v>
      </c>
      <c r="Q80">
        <f t="shared" si="3"/>
        <v>223</v>
      </c>
      <c r="R80">
        <f>SENSEX!R25</f>
        <v>495</v>
      </c>
      <c r="S80">
        <f t="shared" si="4"/>
        <v>492</v>
      </c>
    </row>
    <row r="81" spans="1:19" x14ac:dyDescent="0.35">
      <c r="A81" t="str">
        <f>SENSEX!Q26</f>
        <v>SENSEX25D1885700PE</v>
      </c>
      <c r="B81" t="s">
        <v>26</v>
      </c>
      <c r="C81" t="s">
        <v>29</v>
      </c>
      <c r="D81">
        <v>20</v>
      </c>
      <c r="E81" t="s">
        <v>24</v>
      </c>
      <c r="F81" t="s">
        <v>25</v>
      </c>
      <c r="H81" t="s">
        <v>27</v>
      </c>
      <c r="I81" t="s">
        <v>20</v>
      </c>
      <c r="J81" t="s">
        <v>21</v>
      </c>
      <c r="L81" t="s">
        <v>50</v>
      </c>
      <c r="M81" t="s">
        <v>22</v>
      </c>
      <c r="N81" t="s">
        <v>23</v>
      </c>
      <c r="P81">
        <f>SENSEX!X26</f>
        <v>225</v>
      </c>
      <c r="Q81">
        <f t="shared" si="3"/>
        <v>223</v>
      </c>
      <c r="R81">
        <f>SENSEX!R26</f>
        <v>495</v>
      </c>
      <c r="S81">
        <f t="shared" si="4"/>
        <v>492</v>
      </c>
    </row>
    <row r="82" spans="1:19" x14ac:dyDescent="0.35">
      <c r="A82" t="str">
        <f>SENSEX!Q27</f>
        <v>SENSEX25D1885600PE</v>
      </c>
      <c r="B82" t="s">
        <v>26</v>
      </c>
      <c r="C82" t="s">
        <v>29</v>
      </c>
      <c r="D82">
        <v>20</v>
      </c>
      <c r="E82" t="s">
        <v>24</v>
      </c>
      <c r="F82" t="s">
        <v>25</v>
      </c>
      <c r="H82" t="s">
        <v>27</v>
      </c>
      <c r="I82" t="s">
        <v>20</v>
      </c>
      <c r="J82" t="s">
        <v>21</v>
      </c>
      <c r="L82" t="s">
        <v>50</v>
      </c>
      <c r="M82" t="s">
        <v>22</v>
      </c>
      <c r="N82" t="s">
        <v>23</v>
      </c>
      <c r="P82">
        <f>SENSEX!X27</f>
        <v>225</v>
      </c>
      <c r="Q82">
        <f t="shared" si="3"/>
        <v>223</v>
      </c>
      <c r="R82">
        <f>SENSEX!R27</f>
        <v>448</v>
      </c>
      <c r="S82">
        <f t="shared" si="4"/>
        <v>445</v>
      </c>
    </row>
    <row r="83" spans="1:19" x14ac:dyDescent="0.35">
      <c r="A83" t="str">
        <f>SENSEX!Q28</f>
        <v>SENSEX25D1885300PE</v>
      </c>
      <c r="B83" t="s">
        <v>26</v>
      </c>
      <c r="C83" t="s">
        <v>29</v>
      </c>
      <c r="D83">
        <v>20</v>
      </c>
      <c r="E83" t="s">
        <v>24</v>
      </c>
      <c r="F83" t="s">
        <v>25</v>
      </c>
      <c r="H83" t="s">
        <v>27</v>
      </c>
      <c r="I83" t="s">
        <v>20</v>
      </c>
      <c r="J83" t="s">
        <v>21</v>
      </c>
      <c r="L83" t="s">
        <v>50</v>
      </c>
      <c r="M83" t="s">
        <v>22</v>
      </c>
      <c r="N83" t="s">
        <v>23</v>
      </c>
      <c r="P83">
        <f>SENSEX!X28</f>
        <v>110</v>
      </c>
      <c r="Q83">
        <f t="shared" si="3"/>
        <v>108</v>
      </c>
      <c r="R83">
        <f>SENSEX!R28</f>
        <v>238</v>
      </c>
      <c r="S83">
        <f t="shared" si="4"/>
        <v>235</v>
      </c>
    </row>
    <row r="84" spans="1:19" x14ac:dyDescent="0.35">
      <c r="A84" t="str">
        <f>SENSEX!Q29</f>
        <v>SENSEX25D1885000PE</v>
      </c>
      <c r="B84" t="s">
        <v>26</v>
      </c>
      <c r="C84" t="s">
        <v>29</v>
      </c>
      <c r="D84">
        <v>20</v>
      </c>
      <c r="E84" t="s">
        <v>24</v>
      </c>
      <c r="F84" t="s">
        <v>25</v>
      </c>
      <c r="H84" t="s">
        <v>27</v>
      </c>
      <c r="I84" t="s">
        <v>20</v>
      </c>
      <c r="J84" t="s">
        <v>21</v>
      </c>
      <c r="L84" t="s">
        <v>50</v>
      </c>
      <c r="M84" t="s">
        <v>22</v>
      </c>
      <c r="N84" t="s">
        <v>23</v>
      </c>
      <c r="P84">
        <f>SENSEX!X29</f>
        <v>3</v>
      </c>
      <c r="Q84">
        <f t="shared" si="3"/>
        <v>1</v>
      </c>
      <c r="R84">
        <f>SENSEX!R29</f>
        <v>168</v>
      </c>
      <c r="S84">
        <f t="shared" si="4"/>
        <v>165</v>
      </c>
    </row>
    <row r="85" spans="1:19" x14ac:dyDescent="0.35">
      <c r="A85" t="str">
        <f>SENSEX!Q30</f>
        <v>SENSEX25D1884800PE</v>
      </c>
      <c r="B85" t="s">
        <v>26</v>
      </c>
      <c r="C85" t="s">
        <v>29</v>
      </c>
      <c r="D85">
        <v>20</v>
      </c>
      <c r="E85" t="s">
        <v>24</v>
      </c>
      <c r="F85" t="s">
        <v>25</v>
      </c>
      <c r="H85" t="s">
        <v>27</v>
      </c>
      <c r="I85" t="s">
        <v>20</v>
      </c>
      <c r="J85" t="s">
        <v>21</v>
      </c>
      <c r="L85" t="s">
        <v>50</v>
      </c>
      <c r="M85" t="s">
        <v>22</v>
      </c>
      <c r="N85" t="s">
        <v>23</v>
      </c>
      <c r="P85">
        <f>SENSEX!X30</f>
        <v>110</v>
      </c>
      <c r="Q85">
        <f t="shared" si="3"/>
        <v>108</v>
      </c>
      <c r="R85">
        <f>SENSEX!R30</f>
        <v>238</v>
      </c>
      <c r="S85">
        <f t="shared" si="4"/>
        <v>235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DC8A-26A1-412C-8A6E-57F1BE01FB2E}">
  <dimension ref="A1:X30"/>
  <sheetViews>
    <sheetView workbookViewId="0">
      <selection activeCell="C17" sqref="C17"/>
    </sheetView>
  </sheetViews>
  <sheetFormatPr defaultRowHeight="14.5" x14ac:dyDescent="0.35"/>
  <cols>
    <col min="17" max="17" width="23.08984375" bestFit="1" customWidth="1"/>
  </cols>
  <sheetData>
    <row r="1" spans="1:24" ht="16" thickBot="1" x14ac:dyDescent="0.4">
      <c r="A1" s="2">
        <v>84800</v>
      </c>
      <c r="B1" s="3" t="s">
        <v>31</v>
      </c>
      <c r="C1" s="4">
        <v>25</v>
      </c>
      <c r="D1" s="3" t="s">
        <v>32</v>
      </c>
      <c r="E1" s="5">
        <v>18</v>
      </c>
      <c r="F1" s="3" t="s">
        <v>33</v>
      </c>
      <c r="G1" s="6" t="s">
        <v>34</v>
      </c>
      <c r="H1" s="3"/>
      <c r="I1" s="3"/>
      <c r="J1" s="3"/>
      <c r="K1" s="3"/>
      <c r="Q1" t="s">
        <v>30</v>
      </c>
    </row>
    <row r="2" spans="1:24" ht="15" thickBot="1" x14ac:dyDescent="0.4">
      <c r="A2" s="7" t="s">
        <v>35</v>
      </c>
      <c r="B2" s="3"/>
      <c r="C2" s="7" t="s">
        <v>36</v>
      </c>
      <c r="D2" s="8" t="s">
        <v>37</v>
      </c>
      <c r="E2" s="7" t="s">
        <v>44</v>
      </c>
      <c r="F2" s="8" t="s">
        <v>38</v>
      </c>
      <c r="G2" s="7" t="s">
        <v>45</v>
      </c>
      <c r="H2" s="8" t="s">
        <v>39</v>
      </c>
      <c r="I2" s="7" t="s">
        <v>46</v>
      </c>
      <c r="J2" s="3"/>
      <c r="K2" s="3"/>
      <c r="L2" s="3"/>
      <c r="M2" s="14"/>
      <c r="N2" s="14" t="s">
        <v>40</v>
      </c>
      <c r="O2" s="14" t="s">
        <v>20</v>
      </c>
      <c r="P2" s="14" t="s">
        <v>41</v>
      </c>
      <c r="R2" s="14" t="s">
        <v>42</v>
      </c>
      <c r="S2" s="14" t="s">
        <v>47</v>
      </c>
      <c r="T2" s="14" t="s">
        <v>45</v>
      </c>
      <c r="U2" s="14" t="s">
        <v>43</v>
      </c>
      <c r="V2" s="14" t="s">
        <v>48</v>
      </c>
      <c r="W2" s="14" t="s">
        <v>46</v>
      </c>
      <c r="X2" s="14" t="s">
        <v>49</v>
      </c>
    </row>
    <row r="3" spans="1:24" ht="15" thickBot="1" x14ac:dyDescent="0.4">
      <c r="A3" s="7" t="s">
        <v>33</v>
      </c>
      <c r="B3" s="9">
        <f>J3-K3</f>
        <v>84600</v>
      </c>
      <c r="C3" s="9">
        <f>B3</f>
        <v>84600</v>
      </c>
      <c r="D3" s="10">
        <v>338</v>
      </c>
      <c r="E3" s="9">
        <v>418</v>
      </c>
      <c r="F3" s="10">
        <v>138</v>
      </c>
      <c r="G3" s="9">
        <v>238</v>
      </c>
      <c r="H3" s="10">
        <v>38</v>
      </c>
      <c r="I3" s="9">
        <v>68</v>
      </c>
      <c r="J3" s="9">
        <f>A1</f>
        <v>84800</v>
      </c>
      <c r="K3" s="9">
        <v>200</v>
      </c>
      <c r="L3" s="9">
        <v>2</v>
      </c>
      <c r="M3" s="15" t="str">
        <f>B1</f>
        <v>SENSEX</v>
      </c>
      <c r="N3" s="15">
        <f>C1</f>
        <v>25</v>
      </c>
      <c r="O3" s="15" t="s">
        <v>32</v>
      </c>
      <c r="P3" s="15">
        <f>E1</f>
        <v>18</v>
      </c>
      <c r="Q3" t="str">
        <f>_xlfn.CONCAT(M3,N3,O3,P3,C3,A3)</f>
        <v>SENSEX25D1884600CE</v>
      </c>
      <c r="R3">
        <v>495</v>
      </c>
      <c r="S3">
        <v>595</v>
      </c>
      <c r="T3">
        <v>288</v>
      </c>
      <c r="U3">
        <v>338</v>
      </c>
      <c r="V3">
        <v>88</v>
      </c>
      <c r="W3">
        <v>118</v>
      </c>
      <c r="X3">
        <v>225</v>
      </c>
    </row>
    <row r="4" spans="1:24" ht="15" thickBot="1" x14ac:dyDescent="0.4">
      <c r="A4" s="7" t="s">
        <v>33</v>
      </c>
      <c r="B4" s="9">
        <f t="shared" ref="B4:B30" si="0">J4-K4</f>
        <v>84700</v>
      </c>
      <c r="C4" s="9">
        <f t="shared" ref="C4:C30" si="1">B4</f>
        <v>84700</v>
      </c>
      <c r="D4" s="10">
        <v>338</v>
      </c>
      <c r="E4" s="9">
        <v>418</v>
      </c>
      <c r="F4" s="10">
        <v>138</v>
      </c>
      <c r="G4" s="9">
        <v>238</v>
      </c>
      <c r="H4" s="10">
        <v>38</v>
      </c>
      <c r="I4" s="9">
        <v>68</v>
      </c>
      <c r="J4" s="9">
        <f>A1</f>
        <v>84800</v>
      </c>
      <c r="K4" s="9">
        <v>100</v>
      </c>
      <c r="L4" s="9">
        <v>1</v>
      </c>
      <c r="M4" s="15" t="str">
        <f>B1</f>
        <v>SENSEX</v>
      </c>
      <c r="N4" s="15">
        <f>C1</f>
        <v>25</v>
      </c>
      <c r="O4" s="15" t="s">
        <v>32</v>
      </c>
      <c r="P4" s="15">
        <f>E1</f>
        <v>18</v>
      </c>
      <c r="Q4" t="str">
        <f>_xlfn.CONCAT(M4,N4,O4,P4,C4,A4)</f>
        <v>SENSEX25D1884700CE</v>
      </c>
      <c r="R4">
        <v>495</v>
      </c>
      <c r="S4">
        <v>595</v>
      </c>
      <c r="T4">
        <v>288</v>
      </c>
      <c r="U4">
        <v>338</v>
      </c>
      <c r="V4">
        <v>88</v>
      </c>
      <c r="W4">
        <v>118</v>
      </c>
      <c r="X4">
        <v>225</v>
      </c>
    </row>
    <row r="5" spans="1:24" ht="15" thickBot="1" x14ac:dyDescent="0.4">
      <c r="A5" s="11" t="s">
        <v>33</v>
      </c>
      <c r="B5" s="9">
        <f t="shared" si="0"/>
        <v>84800</v>
      </c>
      <c r="C5" s="9">
        <f t="shared" si="1"/>
        <v>84800</v>
      </c>
      <c r="D5" s="13">
        <v>338</v>
      </c>
      <c r="E5" s="12">
        <v>418</v>
      </c>
      <c r="F5" s="13">
        <v>138</v>
      </c>
      <c r="G5" s="12">
        <v>238</v>
      </c>
      <c r="H5" s="13">
        <v>38</v>
      </c>
      <c r="I5" s="12">
        <v>68</v>
      </c>
      <c r="J5" s="12">
        <f>A1</f>
        <v>84800</v>
      </c>
      <c r="K5" s="12">
        <v>0</v>
      </c>
      <c r="L5" s="12">
        <v>0</v>
      </c>
      <c r="M5" s="16" t="str">
        <f>B1</f>
        <v>SENSEX</v>
      </c>
      <c r="N5" s="16">
        <f>C1</f>
        <v>25</v>
      </c>
      <c r="O5" s="15" t="s">
        <v>32</v>
      </c>
      <c r="P5" s="15">
        <f>E1</f>
        <v>18</v>
      </c>
      <c r="Q5" t="str">
        <f t="shared" ref="Q5:Q10" si="2">_xlfn.CONCAT(M5,N5,O5,P5,C5,A5)</f>
        <v>SENSEX25D1884800CE</v>
      </c>
      <c r="R5">
        <v>495</v>
      </c>
      <c r="S5">
        <v>595</v>
      </c>
      <c r="T5">
        <v>288</v>
      </c>
      <c r="U5">
        <v>338</v>
      </c>
      <c r="V5">
        <v>88</v>
      </c>
      <c r="W5">
        <v>118</v>
      </c>
      <c r="X5">
        <v>225</v>
      </c>
    </row>
    <row r="6" spans="1:24" ht="15" thickBot="1" x14ac:dyDescent="0.4">
      <c r="A6" s="7" t="s">
        <v>33</v>
      </c>
      <c r="B6" s="9">
        <f t="shared" si="0"/>
        <v>84900</v>
      </c>
      <c r="C6" s="9">
        <f t="shared" si="1"/>
        <v>84900</v>
      </c>
      <c r="D6" s="10">
        <v>338</v>
      </c>
      <c r="E6" s="9">
        <v>418</v>
      </c>
      <c r="F6" s="10">
        <v>128</v>
      </c>
      <c r="G6" s="9">
        <v>228</v>
      </c>
      <c r="H6" s="10">
        <v>28</v>
      </c>
      <c r="I6" s="9">
        <v>56</v>
      </c>
      <c r="J6" s="9">
        <f>A1</f>
        <v>84800</v>
      </c>
      <c r="K6" s="9">
        <v>-100</v>
      </c>
      <c r="L6" s="9">
        <v>-1</v>
      </c>
      <c r="M6" s="15" t="str">
        <f>B1</f>
        <v>SENSEX</v>
      </c>
      <c r="N6" s="15">
        <f>C1</f>
        <v>25</v>
      </c>
      <c r="O6" s="15" t="s">
        <v>32</v>
      </c>
      <c r="P6" s="15">
        <f>E1</f>
        <v>18</v>
      </c>
      <c r="Q6" t="str">
        <f t="shared" si="2"/>
        <v>SENSEX25D1884900CE</v>
      </c>
      <c r="R6">
        <v>495</v>
      </c>
      <c r="S6">
        <v>595</v>
      </c>
      <c r="T6">
        <v>268</v>
      </c>
      <c r="U6">
        <v>318</v>
      </c>
      <c r="V6">
        <v>68</v>
      </c>
      <c r="W6">
        <v>88</v>
      </c>
      <c r="X6">
        <v>225</v>
      </c>
    </row>
    <row r="7" spans="1:24" ht="15" thickBot="1" x14ac:dyDescent="0.4">
      <c r="A7" s="7" t="s">
        <v>33</v>
      </c>
      <c r="B7" s="9">
        <f>J7-K7</f>
        <v>85000</v>
      </c>
      <c r="C7" s="9">
        <f t="shared" si="1"/>
        <v>85000</v>
      </c>
      <c r="D7" s="10">
        <v>288</v>
      </c>
      <c r="E7" s="9">
        <v>388</v>
      </c>
      <c r="F7" s="10">
        <v>88</v>
      </c>
      <c r="G7" s="9">
        <v>168</v>
      </c>
      <c r="H7" s="10">
        <v>18</v>
      </c>
      <c r="I7" s="9">
        <v>38</v>
      </c>
      <c r="J7" s="9">
        <f>A1</f>
        <v>84800</v>
      </c>
      <c r="K7" s="9">
        <v>-200</v>
      </c>
      <c r="L7" s="9">
        <v>-2</v>
      </c>
      <c r="M7" s="15" t="str">
        <f>B1</f>
        <v>SENSEX</v>
      </c>
      <c r="N7" s="15">
        <f>C1</f>
        <v>25</v>
      </c>
      <c r="O7" s="15" t="s">
        <v>32</v>
      </c>
      <c r="P7" s="15">
        <f>E1</f>
        <v>18</v>
      </c>
      <c r="Q7" t="str">
        <f t="shared" si="2"/>
        <v>SENSEX25D1885000CE</v>
      </c>
      <c r="R7">
        <v>448</v>
      </c>
      <c r="S7">
        <v>448</v>
      </c>
      <c r="T7">
        <v>298</v>
      </c>
      <c r="U7">
        <v>218</v>
      </c>
      <c r="V7">
        <v>68</v>
      </c>
      <c r="W7">
        <v>88</v>
      </c>
      <c r="X7">
        <v>225</v>
      </c>
    </row>
    <row r="8" spans="1:24" ht="15" thickBot="1" x14ac:dyDescent="0.4">
      <c r="A8" s="7" t="s">
        <v>33</v>
      </c>
      <c r="B8" s="9">
        <f t="shared" si="0"/>
        <v>85300</v>
      </c>
      <c r="C8" s="9">
        <f t="shared" si="1"/>
        <v>85300</v>
      </c>
      <c r="D8" s="10">
        <v>168</v>
      </c>
      <c r="E8" s="9">
        <v>218</v>
      </c>
      <c r="F8" s="10">
        <v>68</v>
      </c>
      <c r="G8" s="9">
        <v>138</v>
      </c>
      <c r="H8" s="10">
        <v>38</v>
      </c>
      <c r="I8" s="9">
        <v>68</v>
      </c>
      <c r="J8" s="9">
        <f>A1</f>
        <v>84800</v>
      </c>
      <c r="K8" s="9">
        <v>-500</v>
      </c>
      <c r="L8" s="9">
        <v>-5</v>
      </c>
      <c r="M8" s="15" t="str">
        <f>B1</f>
        <v>SENSEX</v>
      </c>
      <c r="N8" s="15">
        <f>C1</f>
        <v>25</v>
      </c>
      <c r="O8" s="15" t="s">
        <v>32</v>
      </c>
      <c r="P8" s="15">
        <f>E1</f>
        <v>18</v>
      </c>
      <c r="Q8" t="str">
        <f t="shared" si="2"/>
        <v>SENSEX25D1885300CE</v>
      </c>
      <c r="R8">
        <v>238</v>
      </c>
      <c r="S8">
        <v>295</v>
      </c>
      <c r="T8">
        <v>168</v>
      </c>
      <c r="U8">
        <v>218</v>
      </c>
      <c r="V8">
        <v>68</v>
      </c>
      <c r="W8">
        <v>88</v>
      </c>
      <c r="X8">
        <v>110</v>
      </c>
    </row>
    <row r="9" spans="1:24" ht="15" thickBot="1" x14ac:dyDescent="0.4">
      <c r="A9" s="7" t="s">
        <v>33</v>
      </c>
      <c r="B9" s="9">
        <f t="shared" si="0"/>
        <v>85600</v>
      </c>
      <c r="C9" s="9">
        <f t="shared" si="1"/>
        <v>85600</v>
      </c>
      <c r="D9" s="10">
        <v>68</v>
      </c>
      <c r="E9" s="9">
        <v>138</v>
      </c>
      <c r="F9" s="10">
        <v>38</v>
      </c>
      <c r="G9" s="9">
        <v>68</v>
      </c>
      <c r="H9" s="10">
        <v>18</v>
      </c>
      <c r="I9" s="9">
        <v>38</v>
      </c>
      <c r="J9" s="9">
        <f>A1</f>
        <v>84800</v>
      </c>
      <c r="K9" s="9">
        <v>-800</v>
      </c>
      <c r="L9" s="9">
        <v>-8</v>
      </c>
      <c r="M9" s="15" t="str">
        <f>B1</f>
        <v>SENSEX</v>
      </c>
      <c r="N9" s="15">
        <f>C1</f>
        <v>25</v>
      </c>
      <c r="O9" s="15" t="s">
        <v>32</v>
      </c>
      <c r="P9" s="15">
        <f>E1</f>
        <v>18</v>
      </c>
      <c r="Q9" t="str">
        <f t="shared" si="2"/>
        <v>SENSEX25D1885600CE</v>
      </c>
      <c r="R9">
        <v>168</v>
      </c>
      <c r="S9">
        <v>195</v>
      </c>
      <c r="T9">
        <v>88</v>
      </c>
      <c r="U9">
        <v>118</v>
      </c>
      <c r="V9">
        <v>48</v>
      </c>
      <c r="W9">
        <v>68</v>
      </c>
      <c r="X9">
        <v>3</v>
      </c>
    </row>
    <row r="10" spans="1:24" ht="15" thickBot="1" x14ac:dyDescent="0.4">
      <c r="A10" s="7" t="s">
        <v>33</v>
      </c>
      <c r="B10" s="9">
        <f t="shared" si="0"/>
        <v>85800</v>
      </c>
      <c r="C10" s="9">
        <f t="shared" si="1"/>
        <v>85800</v>
      </c>
      <c r="D10" s="10">
        <v>168</v>
      </c>
      <c r="E10" s="9">
        <v>218</v>
      </c>
      <c r="F10" s="10">
        <v>68</v>
      </c>
      <c r="G10" s="9">
        <v>138</v>
      </c>
      <c r="H10" s="10">
        <v>38</v>
      </c>
      <c r="I10" s="9">
        <v>68</v>
      </c>
      <c r="J10" s="9">
        <f>A1</f>
        <v>84800</v>
      </c>
      <c r="K10" s="9">
        <v>-1000</v>
      </c>
      <c r="L10" s="9">
        <v>-10</v>
      </c>
      <c r="M10" s="15" t="str">
        <f>B1</f>
        <v>SENSEX</v>
      </c>
      <c r="N10" s="15">
        <f>C1</f>
        <v>25</v>
      </c>
      <c r="O10" s="15" t="s">
        <v>32</v>
      </c>
      <c r="P10" s="15">
        <f>E1</f>
        <v>18</v>
      </c>
      <c r="Q10" t="str">
        <f t="shared" si="2"/>
        <v>SENSEX25D1885800CE</v>
      </c>
      <c r="R10">
        <v>238</v>
      </c>
      <c r="S10">
        <v>295</v>
      </c>
      <c r="T10">
        <v>168</v>
      </c>
      <c r="U10">
        <v>218</v>
      </c>
      <c r="V10">
        <v>68</v>
      </c>
      <c r="W10">
        <v>88</v>
      </c>
      <c r="X10">
        <v>110</v>
      </c>
    </row>
    <row r="11" spans="1:24" ht="15" thickBot="1" x14ac:dyDescent="0.4">
      <c r="A11" s="7" t="s">
        <v>34</v>
      </c>
      <c r="B11" s="9">
        <f t="shared" si="0"/>
        <v>85000</v>
      </c>
      <c r="C11" s="9">
        <f t="shared" si="1"/>
        <v>85000</v>
      </c>
      <c r="D11" s="10">
        <v>338</v>
      </c>
      <c r="E11" s="9">
        <v>418</v>
      </c>
      <c r="F11" s="10">
        <v>138</v>
      </c>
      <c r="G11" s="9">
        <v>238</v>
      </c>
      <c r="H11" s="10">
        <v>38</v>
      </c>
      <c r="I11" s="9">
        <v>68</v>
      </c>
      <c r="J11" s="9">
        <f>A1</f>
        <v>84800</v>
      </c>
      <c r="K11" s="9">
        <v>-200</v>
      </c>
      <c r="L11" s="9">
        <v>-2</v>
      </c>
      <c r="M11" s="15" t="str">
        <f>B1</f>
        <v>SENSEX</v>
      </c>
      <c r="N11" s="15">
        <f>C1</f>
        <v>25</v>
      </c>
      <c r="O11" s="15" t="s">
        <v>32</v>
      </c>
      <c r="P11" s="15">
        <f>E1</f>
        <v>18</v>
      </c>
      <c r="Q11" t="str">
        <f t="shared" ref="Q11:Q30" si="3">_xlfn.CONCAT(M11,N11,O11,P11,C11,A11)</f>
        <v>SENSEX25D1885000PE</v>
      </c>
      <c r="R11">
        <v>495</v>
      </c>
      <c r="S11">
        <v>595</v>
      </c>
      <c r="T11">
        <v>288</v>
      </c>
      <c r="U11">
        <v>338</v>
      </c>
      <c r="V11">
        <v>88</v>
      </c>
      <c r="W11">
        <v>118</v>
      </c>
      <c r="X11">
        <v>225</v>
      </c>
    </row>
    <row r="12" spans="1:24" ht="15" thickBot="1" x14ac:dyDescent="0.4">
      <c r="A12" s="7" t="s">
        <v>34</v>
      </c>
      <c r="B12" s="9">
        <f t="shared" si="0"/>
        <v>84900</v>
      </c>
      <c r="C12" s="9">
        <f t="shared" si="1"/>
        <v>84900</v>
      </c>
      <c r="D12" s="10">
        <v>338</v>
      </c>
      <c r="E12" s="9">
        <v>418</v>
      </c>
      <c r="F12" s="10">
        <v>138</v>
      </c>
      <c r="G12" s="9">
        <v>238</v>
      </c>
      <c r="H12" s="10">
        <v>38</v>
      </c>
      <c r="I12" s="9">
        <v>68</v>
      </c>
      <c r="J12" s="9">
        <f>A1</f>
        <v>84800</v>
      </c>
      <c r="K12" s="9">
        <v>-100</v>
      </c>
      <c r="L12" s="9">
        <v>-1</v>
      </c>
      <c r="M12" s="15" t="str">
        <f>B1</f>
        <v>SENSEX</v>
      </c>
      <c r="N12" s="15">
        <f>C1</f>
        <v>25</v>
      </c>
      <c r="O12" s="15" t="s">
        <v>32</v>
      </c>
      <c r="P12" s="15">
        <f>E1</f>
        <v>18</v>
      </c>
      <c r="Q12" t="str">
        <f t="shared" si="3"/>
        <v>SENSEX25D1884900PE</v>
      </c>
      <c r="R12">
        <v>495</v>
      </c>
      <c r="S12">
        <v>595</v>
      </c>
      <c r="T12">
        <v>288</v>
      </c>
      <c r="U12">
        <v>338</v>
      </c>
      <c r="V12">
        <v>88</v>
      </c>
      <c r="W12">
        <v>118</v>
      </c>
      <c r="X12">
        <v>225</v>
      </c>
    </row>
    <row r="13" spans="1:24" ht="15" thickBot="1" x14ac:dyDescent="0.4">
      <c r="A13" s="11" t="s">
        <v>34</v>
      </c>
      <c r="B13" s="9">
        <f t="shared" si="0"/>
        <v>84800</v>
      </c>
      <c r="C13" s="9">
        <f t="shared" si="1"/>
        <v>84800</v>
      </c>
      <c r="D13" s="13">
        <v>338</v>
      </c>
      <c r="E13" s="12">
        <v>418</v>
      </c>
      <c r="F13" s="13">
        <v>138</v>
      </c>
      <c r="G13" s="12">
        <v>238</v>
      </c>
      <c r="H13" s="13">
        <v>38</v>
      </c>
      <c r="I13" s="12">
        <v>68</v>
      </c>
      <c r="J13" s="12">
        <f>A1</f>
        <v>84800</v>
      </c>
      <c r="K13" s="12">
        <v>0</v>
      </c>
      <c r="L13" s="12">
        <v>0</v>
      </c>
      <c r="M13" s="16" t="str">
        <f>B1</f>
        <v>SENSEX</v>
      </c>
      <c r="N13" s="16">
        <f>C1</f>
        <v>25</v>
      </c>
      <c r="O13" s="15" t="s">
        <v>32</v>
      </c>
      <c r="P13" s="15">
        <f>E1</f>
        <v>18</v>
      </c>
      <c r="Q13" t="str">
        <f t="shared" si="3"/>
        <v>SENSEX25D1884800PE</v>
      </c>
      <c r="R13">
        <v>495</v>
      </c>
      <c r="S13">
        <v>595</v>
      </c>
      <c r="T13">
        <v>288</v>
      </c>
      <c r="U13">
        <v>338</v>
      </c>
      <c r="V13">
        <v>88</v>
      </c>
      <c r="W13">
        <v>118</v>
      </c>
      <c r="X13">
        <v>225</v>
      </c>
    </row>
    <row r="14" spans="1:24" ht="15" thickBot="1" x14ac:dyDescent="0.4">
      <c r="A14" s="7" t="s">
        <v>34</v>
      </c>
      <c r="B14" s="9">
        <f t="shared" si="0"/>
        <v>84700</v>
      </c>
      <c r="C14" s="9">
        <f t="shared" si="1"/>
        <v>84700</v>
      </c>
      <c r="D14" s="10">
        <v>338</v>
      </c>
      <c r="E14" s="9">
        <v>418</v>
      </c>
      <c r="F14" s="10">
        <v>128</v>
      </c>
      <c r="G14" s="9">
        <v>228</v>
      </c>
      <c r="H14" s="10">
        <v>28</v>
      </c>
      <c r="I14" s="9">
        <v>56</v>
      </c>
      <c r="J14" s="9">
        <f>A1</f>
        <v>84800</v>
      </c>
      <c r="K14" s="9">
        <v>100</v>
      </c>
      <c r="L14" s="9">
        <v>1</v>
      </c>
      <c r="M14" s="15" t="str">
        <f>B1</f>
        <v>SENSEX</v>
      </c>
      <c r="N14" s="15">
        <f>C1</f>
        <v>25</v>
      </c>
      <c r="O14" s="15" t="s">
        <v>32</v>
      </c>
      <c r="P14" s="15">
        <f>E1</f>
        <v>18</v>
      </c>
      <c r="Q14" t="str">
        <f t="shared" si="3"/>
        <v>SENSEX25D1884700PE</v>
      </c>
      <c r="R14">
        <v>495</v>
      </c>
      <c r="S14">
        <v>595</v>
      </c>
      <c r="T14">
        <v>268</v>
      </c>
      <c r="U14">
        <v>318</v>
      </c>
      <c r="V14">
        <v>68</v>
      </c>
      <c r="W14">
        <v>88</v>
      </c>
      <c r="X14">
        <v>225</v>
      </c>
    </row>
    <row r="15" spans="1:24" ht="15" thickBot="1" x14ac:dyDescent="0.4">
      <c r="A15" s="7" t="s">
        <v>34</v>
      </c>
      <c r="B15" s="9">
        <f t="shared" si="0"/>
        <v>84600</v>
      </c>
      <c r="C15" s="9">
        <f t="shared" si="1"/>
        <v>84600</v>
      </c>
      <c r="D15" s="10">
        <v>288</v>
      </c>
      <c r="E15" s="9">
        <v>388</v>
      </c>
      <c r="F15" s="10">
        <v>88</v>
      </c>
      <c r="G15" s="9">
        <v>168</v>
      </c>
      <c r="H15" s="10">
        <v>18</v>
      </c>
      <c r="I15" s="9">
        <v>38</v>
      </c>
      <c r="J15" s="9">
        <f>A1</f>
        <v>84800</v>
      </c>
      <c r="K15" s="9">
        <v>200</v>
      </c>
      <c r="L15" s="9">
        <v>2</v>
      </c>
      <c r="M15" s="15" t="str">
        <f>B1</f>
        <v>SENSEX</v>
      </c>
      <c r="N15" s="15">
        <f>C1</f>
        <v>25</v>
      </c>
      <c r="O15" s="15" t="s">
        <v>32</v>
      </c>
      <c r="P15" s="15">
        <f>E1</f>
        <v>18</v>
      </c>
      <c r="Q15" t="str">
        <f t="shared" si="3"/>
        <v>SENSEX25D1884600PE</v>
      </c>
      <c r="R15">
        <v>448</v>
      </c>
      <c r="S15">
        <v>448</v>
      </c>
      <c r="T15">
        <v>298</v>
      </c>
      <c r="U15">
        <v>218</v>
      </c>
      <c r="V15">
        <v>68</v>
      </c>
      <c r="W15">
        <v>88</v>
      </c>
      <c r="X15">
        <v>225</v>
      </c>
    </row>
    <row r="16" spans="1:24" ht="15" thickBot="1" x14ac:dyDescent="0.4">
      <c r="A16" s="7" t="s">
        <v>34</v>
      </c>
      <c r="B16" s="9">
        <f t="shared" si="0"/>
        <v>84300</v>
      </c>
      <c r="C16" s="9">
        <f t="shared" si="1"/>
        <v>84300</v>
      </c>
      <c r="D16" s="10">
        <v>168</v>
      </c>
      <c r="E16" s="9">
        <v>218</v>
      </c>
      <c r="F16" s="10">
        <v>68</v>
      </c>
      <c r="G16" s="9">
        <v>138</v>
      </c>
      <c r="H16" s="10">
        <v>38</v>
      </c>
      <c r="I16" s="9">
        <v>68</v>
      </c>
      <c r="J16" s="9">
        <f>A1</f>
        <v>84800</v>
      </c>
      <c r="K16" s="9">
        <v>500</v>
      </c>
      <c r="L16" s="9">
        <v>5</v>
      </c>
      <c r="M16" s="15" t="str">
        <f>B1</f>
        <v>SENSEX</v>
      </c>
      <c r="N16" s="15">
        <f>C1</f>
        <v>25</v>
      </c>
      <c r="O16" s="15" t="s">
        <v>32</v>
      </c>
      <c r="P16" s="15">
        <f>E1</f>
        <v>18</v>
      </c>
      <c r="Q16" t="str">
        <f t="shared" si="3"/>
        <v>SENSEX25D1884300PE</v>
      </c>
      <c r="R16">
        <v>238</v>
      </c>
      <c r="S16">
        <v>295</v>
      </c>
      <c r="T16">
        <v>168</v>
      </c>
      <c r="U16">
        <v>218</v>
      </c>
      <c r="V16">
        <v>68</v>
      </c>
      <c r="W16">
        <v>88</v>
      </c>
      <c r="X16">
        <v>110</v>
      </c>
    </row>
    <row r="17" spans="1:24" ht="15" thickBot="1" x14ac:dyDescent="0.4">
      <c r="A17" s="7" t="s">
        <v>34</v>
      </c>
      <c r="B17" s="9">
        <f t="shared" si="0"/>
        <v>84000</v>
      </c>
      <c r="C17" s="9">
        <f t="shared" si="1"/>
        <v>84000</v>
      </c>
      <c r="D17" s="10">
        <v>68</v>
      </c>
      <c r="E17" s="9">
        <v>138</v>
      </c>
      <c r="F17" s="10">
        <v>38</v>
      </c>
      <c r="G17" s="9">
        <v>68</v>
      </c>
      <c r="H17" s="10">
        <v>18</v>
      </c>
      <c r="I17" s="9">
        <v>38</v>
      </c>
      <c r="J17" s="9">
        <f>A1</f>
        <v>84800</v>
      </c>
      <c r="K17" s="9">
        <v>800</v>
      </c>
      <c r="L17" s="9">
        <v>8</v>
      </c>
      <c r="M17" s="15" t="str">
        <f>B1</f>
        <v>SENSEX</v>
      </c>
      <c r="N17" s="15">
        <f>C1</f>
        <v>25</v>
      </c>
      <c r="O17" s="15" t="s">
        <v>32</v>
      </c>
      <c r="P17" s="15">
        <f>E1</f>
        <v>18</v>
      </c>
      <c r="Q17" t="str">
        <f t="shared" si="3"/>
        <v>SENSEX25D1884000PE</v>
      </c>
      <c r="R17">
        <v>168</v>
      </c>
      <c r="S17">
        <v>195</v>
      </c>
      <c r="T17">
        <v>88</v>
      </c>
      <c r="U17">
        <v>118</v>
      </c>
      <c r="V17">
        <v>48</v>
      </c>
      <c r="W17">
        <v>68</v>
      </c>
      <c r="X17">
        <v>3</v>
      </c>
    </row>
    <row r="18" spans="1:24" ht="15" thickBot="1" x14ac:dyDescent="0.4">
      <c r="A18" s="7" t="s">
        <v>34</v>
      </c>
      <c r="B18" s="9">
        <f t="shared" si="0"/>
        <v>83800</v>
      </c>
      <c r="C18" s="9">
        <f t="shared" si="1"/>
        <v>83800</v>
      </c>
      <c r="D18" s="10">
        <v>168</v>
      </c>
      <c r="E18" s="9">
        <v>218</v>
      </c>
      <c r="F18" s="10">
        <v>68</v>
      </c>
      <c r="G18" s="9">
        <v>138</v>
      </c>
      <c r="H18" s="10">
        <v>38</v>
      </c>
      <c r="I18" s="9">
        <v>68</v>
      </c>
      <c r="J18" s="9">
        <f>A1</f>
        <v>84800</v>
      </c>
      <c r="K18" s="9">
        <v>1000</v>
      </c>
      <c r="L18" s="9">
        <v>10</v>
      </c>
      <c r="M18" s="15" t="str">
        <f>B1</f>
        <v>SENSEX</v>
      </c>
      <c r="N18" s="15">
        <f>C1</f>
        <v>25</v>
      </c>
      <c r="O18" s="15" t="s">
        <v>32</v>
      </c>
      <c r="P18" s="15">
        <f>E1</f>
        <v>18</v>
      </c>
      <c r="Q18" t="str">
        <f t="shared" si="3"/>
        <v>SENSEX25D1883800PE</v>
      </c>
      <c r="R18">
        <v>238</v>
      </c>
      <c r="S18">
        <v>295</v>
      </c>
      <c r="T18">
        <v>168</v>
      </c>
      <c r="U18">
        <v>218</v>
      </c>
      <c r="V18">
        <v>68</v>
      </c>
      <c r="W18">
        <v>88</v>
      </c>
      <c r="X18">
        <v>110</v>
      </c>
    </row>
    <row r="19" spans="1:24" ht="15" thickBot="1" x14ac:dyDescent="0.4">
      <c r="A19" s="11" t="s">
        <v>33</v>
      </c>
      <c r="B19" s="9">
        <f t="shared" si="0"/>
        <v>83800</v>
      </c>
      <c r="C19" s="9">
        <f t="shared" si="1"/>
        <v>83800</v>
      </c>
      <c r="D19" s="13">
        <v>338</v>
      </c>
      <c r="E19" s="12">
        <v>418</v>
      </c>
      <c r="F19" s="13">
        <v>138</v>
      </c>
      <c r="G19" s="12">
        <v>238</v>
      </c>
      <c r="H19" s="13">
        <v>38</v>
      </c>
      <c r="I19" s="12">
        <v>68</v>
      </c>
      <c r="J19" s="12">
        <f>A1</f>
        <v>84800</v>
      </c>
      <c r="K19" s="12">
        <v>1000</v>
      </c>
      <c r="L19" s="12">
        <v>10</v>
      </c>
      <c r="M19" s="16" t="str">
        <f>B1</f>
        <v>SENSEX</v>
      </c>
      <c r="N19" s="16">
        <f>C1</f>
        <v>25</v>
      </c>
      <c r="O19" s="15" t="s">
        <v>32</v>
      </c>
      <c r="P19" s="15">
        <f>E1</f>
        <v>18</v>
      </c>
      <c r="Q19" t="str">
        <f t="shared" si="3"/>
        <v>SENSEX25D1883800CE</v>
      </c>
      <c r="R19">
        <v>495</v>
      </c>
      <c r="S19">
        <v>595</v>
      </c>
      <c r="T19">
        <v>288</v>
      </c>
      <c r="U19">
        <v>338</v>
      </c>
      <c r="V19">
        <v>88</v>
      </c>
      <c r="W19">
        <v>118</v>
      </c>
      <c r="X19">
        <v>225</v>
      </c>
    </row>
    <row r="20" spans="1:24" ht="15" thickBot="1" x14ac:dyDescent="0.4">
      <c r="A20" s="7" t="s">
        <v>33</v>
      </c>
      <c r="B20" s="9">
        <f t="shared" si="0"/>
        <v>83900</v>
      </c>
      <c r="C20" s="9">
        <f t="shared" si="1"/>
        <v>83900</v>
      </c>
      <c r="D20" s="10">
        <v>338</v>
      </c>
      <c r="E20" s="9">
        <v>418</v>
      </c>
      <c r="F20" s="10">
        <v>128</v>
      </c>
      <c r="G20" s="9">
        <v>228</v>
      </c>
      <c r="H20" s="10">
        <v>28</v>
      </c>
      <c r="I20" s="9">
        <v>56</v>
      </c>
      <c r="J20" s="9">
        <f>A1</f>
        <v>84800</v>
      </c>
      <c r="K20" s="9">
        <v>900</v>
      </c>
      <c r="L20" s="9">
        <v>9</v>
      </c>
      <c r="M20" s="15" t="str">
        <f>B1</f>
        <v>SENSEX</v>
      </c>
      <c r="N20" s="15">
        <f>C1</f>
        <v>25</v>
      </c>
      <c r="O20" s="15" t="s">
        <v>32</v>
      </c>
      <c r="P20" s="15">
        <f>E1</f>
        <v>18</v>
      </c>
      <c r="Q20" t="str">
        <f t="shared" si="3"/>
        <v>SENSEX25D1883900CE</v>
      </c>
      <c r="R20">
        <v>495</v>
      </c>
      <c r="S20">
        <v>595</v>
      </c>
      <c r="T20">
        <v>268</v>
      </c>
      <c r="U20">
        <v>318</v>
      </c>
      <c r="V20">
        <v>68</v>
      </c>
      <c r="W20">
        <v>88</v>
      </c>
      <c r="X20">
        <v>225</v>
      </c>
    </row>
    <row r="21" spans="1:24" ht="15" thickBot="1" x14ac:dyDescent="0.4">
      <c r="A21" s="7" t="s">
        <v>33</v>
      </c>
      <c r="B21" s="9">
        <f t="shared" si="0"/>
        <v>84000</v>
      </c>
      <c r="C21" s="9">
        <f t="shared" si="1"/>
        <v>84000</v>
      </c>
      <c r="D21" s="10">
        <v>288</v>
      </c>
      <c r="E21" s="9">
        <v>388</v>
      </c>
      <c r="F21" s="10">
        <v>88</v>
      </c>
      <c r="G21" s="9">
        <v>168</v>
      </c>
      <c r="H21" s="10">
        <v>18</v>
      </c>
      <c r="I21" s="9">
        <v>38</v>
      </c>
      <c r="J21" s="9">
        <f>A1</f>
        <v>84800</v>
      </c>
      <c r="K21" s="9">
        <v>800</v>
      </c>
      <c r="L21" s="9">
        <v>8</v>
      </c>
      <c r="M21" s="15" t="str">
        <f>B1</f>
        <v>SENSEX</v>
      </c>
      <c r="N21" s="15">
        <f>C1</f>
        <v>25</v>
      </c>
      <c r="O21" s="15" t="s">
        <v>32</v>
      </c>
      <c r="P21" s="15">
        <f>E1</f>
        <v>18</v>
      </c>
      <c r="Q21" t="str">
        <f t="shared" si="3"/>
        <v>SENSEX25D1884000CE</v>
      </c>
      <c r="R21">
        <v>448</v>
      </c>
      <c r="S21">
        <v>448</v>
      </c>
      <c r="T21">
        <v>298</v>
      </c>
      <c r="U21">
        <v>218</v>
      </c>
      <c r="V21">
        <v>68</v>
      </c>
      <c r="W21">
        <v>88</v>
      </c>
      <c r="X21">
        <v>225</v>
      </c>
    </row>
    <row r="22" spans="1:24" ht="15" thickBot="1" x14ac:dyDescent="0.4">
      <c r="A22" s="7" t="s">
        <v>33</v>
      </c>
      <c r="B22" s="9">
        <f t="shared" si="0"/>
        <v>84300</v>
      </c>
      <c r="C22" s="9">
        <f t="shared" si="1"/>
        <v>84300</v>
      </c>
      <c r="D22" s="10">
        <v>168</v>
      </c>
      <c r="E22" s="9">
        <v>218</v>
      </c>
      <c r="F22" s="10">
        <v>68</v>
      </c>
      <c r="G22" s="9">
        <v>138</v>
      </c>
      <c r="H22" s="10">
        <v>38</v>
      </c>
      <c r="I22" s="9">
        <v>68</v>
      </c>
      <c r="J22" s="9">
        <f>A1</f>
        <v>84800</v>
      </c>
      <c r="K22" s="9">
        <v>500</v>
      </c>
      <c r="L22" s="9">
        <v>5</v>
      </c>
      <c r="M22" s="15" t="str">
        <f>B1</f>
        <v>SENSEX</v>
      </c>
      <c r="N22" s="15">
        <f>C1</f>
        <v>25</v>
      </c>
      <c r="O22" s="15" t="s">
        <v>32</v>
      </c>
      <c r="P22" s="15">
        <f>E1</f>
        <v>18</v>
      </c>
      <c r="Q22" t="str">
        <f t="shared" si="3"/>
        <v>SENSEX25D1884300CE</v>
      </c>
      <c r="R22">
        <v>238</v>
      </c>
      <c r="S22">
        <v>295</v>
      </c>
      <c r="T22">
        <v>168</v>
      </c>
      <c r="U22">
        <v>218</v>
      </c>
      <c r="V22">
        <v>68</v>
      </c>
      <c r="W22">
        <v>88</v>
      </c>
      <c r="X22">
        <v>110</v>
      </c>
    </row>
    <row r="23" spans="1:24" ht="15" thickBot="1" x14ac:dyDescent="0.4">
      <c r="A23" s="7" t="s">
        <v>33</v>
      </c>
      <c r="B23" s="9">
        <f t="shared" si="0"/>
        <v>84600</v>
      </c>
      <c r="C23" s="9">
        <f t="shared" si="1"/>
        <v>84600</v>
      </c>
      <c r="D23" s="10">
        <v>68</v>
      </c>
      <c r="E23" s="9">
        <v>138</v>
      </c>
      <c r="F23" s="10">
        <v>38</v>
      </c>
      <c r="G23" s="9">
        <v>68</v>
      </c>
      <c r="H23" s="10">
        <v>18</v>
      </c>
      <c r="I23" s="9">
        <v>38</v>
      </c>
      <c r="J23" s="9">
        <f>A1</f>
        <v>84800</v>
      </c>
      <c r="K23" s="9">
        <v>200</v>
      </c>
      <c r="L23" s="9">
        <v>2</v>
      </c>
      <c r="M23" s="15" t="str">
        <f>B1</f>
        <v>SENSEX</v>
      </c>
      <c r="N23" s="15">
        <f>C1</f>
        <v>25</v>
      </c>
      <c r="O23" s="15" t="s">
        <v>32</v>
      </c>
      <c r="P23" s="15">
        <f>E1</f>
        <v>18</v>
      </c>
      <c r="Q23" t="str">
        <f t="shared" si="3"/>
        <v>SENSEX25D1884600CE</v>
      </c>
      <c r="R23">
        <v>168</v>
      </c>
      <c r="S23">
        <v>195</v>
      </c>
      <c r="T23">
        <v>88</v>
      </c>
      <c r="U23">
        <v>118</v>
      </c>
      <c r="V23">
        <v>48</v>
      </c>
      <c r="W23">
        <v>68</v>
      </c>
      <c r="X23">
        <v>3</v>
      </c>
    </row>
    <row r="24" spans="1:24" ht="15" thickBot="1" x14ac:dyDescent="0.4">
      <c r="A24" s="7" t="s">
        <v>33</v>
      </c>
      <c r="B24" s="9">
        <f t="shared" si="0"/>
        <v>84800</v>
      </c>
      <c r="C24" s="9">
        <f t="shared" si="1"/>
        <v>84800</v>
      </c>
      <c r="D24" s="10">
        <v>168</v>
      </c>
      <c r="E24" s="9">
        <v>218</v>
      </c>
      <c r="F24" s="10">
        <v>68</v>
      </c>
      <c r="G24" s="9">
        <v>138</v>
      </c>
      <c r="H24" s="10">
        <v>38</v>
      </c>
      <c r="I24" s="9">
        <v>68</v>
      </c>
      <c r="J24" s="9">
        <f>A1</f>
        <v>84800</v>
      </c>
      <c r="K24" s="9">
        <v>0</v>
      </c>
      <c r="L24" s="9">
        <v>0</v>
      </c>
      <c r="M24" s="15" t="str">
        <f>B1</f>
        <v>SENSEX</v>
      </c>
      <c r="N24" s="15">
        <f>C1</f>
        <v>25</v>
      </c>
      <c r="O24" s="15" t="s">
        <v>32</v>
      </c>
      <c r="P24" s="15">
        <f>E1</f>
        <v>18</v>
      </c>
      <c r="Q24" t="str">
        <f t="shared" si="3"/>
        <v>SENSEX25D1884800CE</v>
      </c>
      <c r="R24">
        <v>238</v>
      </c>
      <c r="S24">
        <v>295</v>
      </c>
      <c r="T24">
        <v>168</v>
      </c>
      <c r="U24">
        <v>218</v>
      </c>
      <c r="V24">
        <v>68</v>
      </c>
      <c r="W24">
        <v>88</v>
      </c>
      <c r="X24">
        <v>110</v>
      </c>
    </row>
    <row r="25" spans="1:24" ht="15" thickBot="1" x14ac:dyDescent="0.4">
      <c r="A25" s="7" t="s">
        <v>34</v>
      </c>
      <c r="B25" s="9">
        <f t="shared" si="0"/>
        <v>85800</v>
      </c>
      <c r="C25" s="9">
        <f t="shared" si="1"/>
        <v>85800</v>
      </c>
      <c r="D25" s="10">
        <v>338</v>
      </c>
      <c r="E25" s="9">
        <v>418</v>
      </c>
      <c r="F25" s="10">
        <v>138</v>
      </c>
      <c r="G25" s="9">
        <v>238</v>
      </c>
      <c r="H25" s="10">
        <v>38</v>
      </c>
      <c r="I25" s="9">
        <v>68</v>
      </c>
      <c r="J25" s="9">
        <f>A1</f>
        <v>84800</v>
      </c>
      <c r="K25" s="9">
        <v>-1000</v>
      </c>
      <c r="L25" s="9">
        <v>-10</v>
      </c>
      <c r="M25" s="15" t="str">
        <f>B1</f>
        <v>SENSEX</v>
      </c>
      <c r="N25" s="15">
        <f>C1</f>
        <v>25</v>
      </c>
      <c r="O25" s="15" t="s">
        <v>32</v>
      </c>
      <c r="P25" s="15">
        <f>E1</f>
        <v>18</v>
      </c>
      <c r="Q25" t="str">
        <f t="shared" si="3"/>
        <v>SENSEX25D1885800PE</v>
      </c>
      <c r="R25">
        <v>495</v>
      </c>
      <c r="S25">
        <v>595</v>
      </c>
      <c r="T25">
        <v>288</v>
      </c>
      <c r="U25">
        <v>338</v>
      </c>
      <c r="V25">
        <v>88</v>
      </c>
      <c r="W25">
        <v>118</v>
      </c>
      <c r="X25">
        <v>225</v>
      </c>
    </row>
    <row r="26" spans="1:24" ht="15" thickBot="1" x14ac:dyDescent="0.4">
      <c r="A26" s="7" t="s">
        <v>34</v>
      </c>
      <c r="B26" s="9">
        <f t="shared" si="0"/>
        <v>85700</v>
      </c>
      <c r="C26" s="9">
        <f t="shared" si="1"/>
        <v>85700</v>
      </c>
      <c r="D26" s="10">
        <v>338</v>
      </c>
      <c r="E26" s="9">
        <v>418</v>
      </c>
      <c r="F26" s="10">
        <v>128</v>
      </c>
      <c r="G26" s="9">
        <v>228</v>
      </c>
      <c r="H26" s="10">
        <v>28</v>
      </c>
      <c r="I26" s="9">
        <v>56</v>
      </c>
      <c r="J26" s="9">
        <f>A1</f>
        <v>84800</v>
      </c>
      <c r="K26" s="9">
        <v>-900</v>
      </c>
      <c r="L26" s="9">
        <v>-9</v>
      </c>
      <c r="M26" s="15" t="str">
        <f>B1</f>
        <v>SENSEX</v>
      </c>
      <c r="N26" s="15">
        <f>C1</f>
        <v>25</v>
      </c>
      <c r="O26" s="15" t="s">
        <v>32</v>
      </c>
      <c r="P26" s="15">
        <f>E1</f>
        <v>18</v>
      </c>
      <c r="Q26" t="str">
        <f t="shared" si="3"/>
        <v>SENSEX25D1885700PE</v>
      </c>
      <c r="R26">
        <v>495</v>
      </c>
      <c r="S26">
        <v>595</v>
      </c>
      <c r="T26">
        <v>268</v>
      </c>
      <c r="U26">
        <v>318</v>
      </c>
      <c r="V26">
        <v>68</v>
      </c>
      <c r="W26">
        <v>88</v>
      </c>
      <c r="X26">
        <v>225</v>
      </c>
    </row>
    <row r="27" spans="1:24" ht="15" thickBot="1" x14ac:dyDescent="0.4">
      <c r="A27" s="7" t="s">
        <v>34</v>
      </c>
      <c r="B27" s="9">
        <f t="shared" si="0"/>
        <v>85600</v>
      </c>
      <c r="C27" s="9">
        <f t="shared" si="1"/>
        <v>85600</v>
      </c>
      <c r="D27" s="10">
        <v>288</v>
      </c>
      <c r="E27" s="9">
        <v>388</v>
      </c>
      <c r="F27" s="10">
        <v>88</v>
      </c>
      <c r="G27" s="9">
        <v>168</v>
      </c>
      <c r="H27" s="10">
        <v>18</v>
      </c>
      <c r="I27" s="9">
        <v>38</v>
      </c>
      <c r="J27" s="9">
        <f>A1</f>
        <v>84800</v>
      </c>
      <c r="K27" s="9">
        <v>-800</v>
      </c>
      <c r="L27" s="9">
        <v>-8</v>
      </c>
      <c r="M27" s="15" t="str">
        <f>B1</f>
        <v>SENSEX</v>
      </c>
      <c r="N27" s="15">
        <f>C1</f>
        <v>25</v>
      </c>
      <c r="O27" s="15" t="s">
        <v>32</v>
      </c>
      <c r="P27" s="15">
        <f>E1</f>
        <v>18</v>
      </c>
      <c r="Q27" t="str">
        <f t="shared" si="3"/>
        <v>SENSEX25D1885600PE</v>
      </c>
      <c r="R27">
        <v>448</v>
      </c>
      <c r="S27">
        <v>448</v>
      </c>
      <c r="T27">
        <v>298</v>
      </c>
      <c r="U27">
        <v>218</v>
      </c>
      <c r="V27">
        <v>68</v>
      </c>
      <c r="W27">
        <v>88</v>
      </c>
      <c r="X27">
        <v>225</v>
      </c>
    </row>
    <row r="28" spans="1:24" ht="15" thickBot="1" x14ac:dyDescent="0.4">
      <c r="A28" s="7" t="s">
        <v>34</v>
      </c>
      <c r="B28" s="9">
        <f t="shared" si="0"/>
        <v>85300</v>
      </c>
      <c r="C28" s="9">
        <f t="shared" si="1"/>
        <v>85300</v>
      </c>
      <c r="D28" s="10">
        <v>168</v>
      </c>
      <c r="E28" s="9">
        <v>218</v>
      </c>
      <c r="F28" s="10">
        <v>68</v>
      </c>
      <c r="G28" s="9">
        <v>138</v>
      </c>
      <c r="H28" s="10">
        <v>38</v>
      </c>
      <c r="I28" s="9">
        <v>68</v>
      </c>
      <c r="J28" s="9">
        <f>A1</f>
        <v>84800</v>
      </c>
      <c r="K28" s="9">
        <v>-500</v>
      </c>
      <c r="L28" s="9">
        <v>-5</v>
      </c>
      <c r="M28" s="15" t="str">
        <f>B1</f>
        <v>SENSEX</v>
      </c>
      <c r="N28" s="15">
        <f>C1</f>
        <v>25</v>
      </c>
      <c r="O28" s="15" t="s">
        <v>32</v>
      </c>
      <c r="P28" s="15">
        <f>E1</f>
        <v>18</v>
      </c>
      <c r="Q28" t="str">
        <f t="shared" si="3"/>
        <v>SENSEX25D1885300PE</v>
      </c>
      <c r="R28">
        <v>238</v>
      </c>
      <c r="S28">
        <v>295</v>
      </c>
      <c r="T28">
        <v>168</v>
      </c>
      <c r="U28">
        <v>218</v>
      </c>
      <c r="V28">
        <v>68</v>
      </c>
      <c r="W28">
        <v>88</v>
      </c>
      <c r="X28">
        <v>110</v>
      </c>
    </row>
    <row r="29" spans="1:24" ht="15" thickBot="1" x14ac:dyDescent="0.4">
      <c r="A29" s="7" t="s">
        <v>34</v>
      </c>
      <c r="B29" s="9">
        <f t="shared" si="0"/>
        <v>85000</v>
      </c>
      <c r="C29" s="9">
        <f t="shared" si="1"/>
        <v>85000</v>
      </c>
      <c r="D29" s="10">
        <v>68</v>
      </c>
      <c r="E29" s="9">
        <v>138</v>
      </c>
      <c r="F29" s="10">
        <v>38</v>
      </c>
      <c r="G29" s="9">
        <v>68</v>
      </c>
      <c r="H29" s="10">
        <v>18</v>
      </c>
      <c r="I29" s="9">
        <v>38</v>
      </c>
      <c r="J29" s="9">
        <f>A1</f>
        <v>84800</v>
      </c>
      <c r="K29" s="9">
        <v>-200</v>
      </c>
      <c r="L29" s="9">
        <v>-2</v>
      </c>
      <c r="M29" s="15" t="str">
        <f>B1</f>
        <v>SENSEX</v>
      </c>
      <c r="N29" s="15">
        <f>C1</f>
        <v>25</v>
      </c>
      <c r="O29" s="15" t="s">
        <v>32</v>
      </c>
      <c r="P29" s="15">
        <f>E1</f>
        <v>18</v>
      </c>
      <c r="Q29" t="str">
        <f t="shared" si="3"/>
        <v>SENSEX25D1885000PE</v>
      </c>
      <c r="R29">
        <v>168</v>
      </c>
      <c r="S29">
        <v>195</v>
      </c>
      <c r="T29">
        <v>88</v>
      </c>
      <c r="U29">
        <v>118</v>
      </c>
      <c r="V29">
        <v>48</v>
      </c>
      <c r="W29">
        <v>68</v>
      </c>
      <c r="X29">
        <v>3</v>
      </c>
    </row>
    <row r="30" spans="1:24" ht="15" thickBot="1" x14ac:dyDescent="0.4">
      <c r="A30" s="11" t="s">
        <v>34</v>
      </c>
      <c r="B30" s="9">
        <f t="shared" si="0"/>
        <v>84800</v>
      </c>
      <c r="C30" s="9">
        <f t="shared" si="1"/>
        <v>84800</v>
      </c>
      <c r="D30" s="13">
        <v>168</v>
      </c>
      <c r="E30" s="12">
        <v>218</v>
      </c>
      <c r="F30" s="13">
        <v>68</v>
      </c>
      <c r="G30" s="12">
        <v>138</v>
      </c>
      <c r="H30" s="13">
        <v>38</v>
      </c>
      <c r="I30" s="12">
        <v>68</v>
      </c>
      <c r="J30" s="12">
        <f>A1</f>
        <v>84800</v>
      </c>
      <c r="K30" s="12">
        <v>0</v>
      </c>
      <c r="L30" s="12">
        <v>0</v>
      </c>
      <c r="M30" s="16" t="str">
        <f>B1</f>
        <v>SENSEX</v>
      </c>
      <c r="N30" s="16">
        <f>C1</f>
        <v>25</v>
      </c>
      <c r="O30" s="15" t="s">
        <v>32</v>
      </c>
      <c r="P30" s="15">
        <f>E1</f>
        <v>18</v>
      </c>
      <c r="Q30" t="str">
        <f t="shared" si="3"/>
        <v>SENSEX25D1884800PE</v>
      </c>
      <c r="R30">
        <v>238</v>
      </c>
      <c r="S30">
        <v>295</v>
      </c>
      <c r="T30">
        <v>168</v>
      </c>
      <c r="U30">
        <v>218</v>
      </c>
      <c r="V30">
        <v>68</v>
      </c>
      <c r="W30">
        <v>88</v>
      </c>
      <c r="X30">
        <v>110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F226-5217-4ABA-BA37-8BD1D81758F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B3</vt:lpstr>
      <vt:lpstr>B2</vt:lpstr>
      <vt:lpstr>B1</vt:lpstr>
      <vt:lpstr>SENSEX</vt:lpstr>
      <vt:lpstr>NIFTY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Damu</dc:creator>
  <cp:lastModifiedBy>Damodara Rao</cp:lastModifiedBy>
  <cp:lastPrinted>2025-12-11T10:32:24Z</cp:lastPrinted>
  <dcterms:created xsi:type="dcterms:W3CDTF">2025-12-09T06:16:29Z</dcterms:created>
  <dcterms:modified xsi:type="dcterms:W3CDTF">2025-12-12T19:44:46Z</dcterms:modified>
</cp:coreProperties>
</file>