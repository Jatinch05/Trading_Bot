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rading_Bot\"/>
    </mc:Choice>
  </mc:AlternateContent>
  <xr:revisionPtr revIDLastSave="0" documentId="13_ncr:1_{F2FE0FE5-8C79-490A-BE5F-E76028CB568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Orders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R57" i="1" l="1"/>
  <c r="S57" i="1" s="1"/>
  <c r="P57" i="1"/>
  <c r="Q57" i="1" s="1"/>
  <c r="A57" i="1"/>
  <c r="R56" i="1"/>
  <c r="S56" i="1" s="1"/>
  <c r="Q56" i="1"/>
  <c r="P56" i="1"/>
  <c r="A56" i="1"/>
  <c r="R55" i="1"/>
  <c r="S55" i="1" s="1"/>
  <c r="P55" i="1"/>
  <c r="Q55" i="1" s="1"/>
  <c r="A55" i="1"/>
  <c r="S54" i="1"/>
  <c r="R54" i="1"/>
  <c r="Q54" i="1"/>
  <c r="P54" i="1"/>
  <c r="A54" i="1"/>
  <c r="R53" i="1"/>
  <c r="S53" i="1" s="1"/>
  <c r="P53" i="1"/>
  <c r="Q53" i="1" s="1"/>
  <c r="A53" i="1"/>
  <c r="S52" i="1"/>
  <c r="R52" i="1"/>
  <c r="Q52" i="1"/>
  <c r="P52" i="1"/>
  <c r="A52" i="1"/>
  <c r="R51" i="1"/>
  <c r="S51" i="1" s="1"/>
  <c r="P51" i="1"/>
  <c r="Q51" i="1" s="1"/>
  <c r="A51" i="1"/>
  <c r="S50" i="1"/>
  <c r="R50" i="1"/>
  <c r="P50" i="1"/>
  <c r="Q50" i="1" s="1"/>
  <c r="A50" i="1"/>
  <c r="R49" i="1"/>
  <c r="S49" i="1" s="1"/>
  <c r="P49" i="1"/>
  <c r="Q49" i="1" s="1"/>
  <c r="A49" i="1"/>
  <c r="R48" i="1"/>
  <c r="S48" i="1" s="1"/>
  <c r="Q48" i="1"/>
  <c r="P48" i="1"/>
  <c r="A48" i="1"/>
  <c r="R47" i="1"/>
  <c r="S47" i="1" s="1"/>
  <c r="P47" i="1"/>
  <c r="Q47" i="1" s="1"/>
  <c r="A47" i="1"/>
  <c r="S46" i="1"/>
  <c r="R46" i="1"/>
  <c r="Q46" i="1"/>
  <c r="P46" i="1"/>
  <c r="A46" i="1"/>
  <c r="R45" i="1"/>
  <c r="S45" i="1" s="1"/>
  <c r="P45" i="1"/>
  <c r="Q45" i="1" s="1"/>
  <c r="A45" i="1"/>
  <c r="S44" i="1"/>
  <c r="R44" i="1"/>
  <c r="Q44" i="1"/>
  <c r="P44" i="1"/>
  <c r="A44" i="1"/>
  <c r="R43" i="1"/>
  <c r="S43" i="1" s="1"/>
  <c r="P43" i="1"/>
  <c r="Q43" i="1" s="1"/>
  <c r="A43" i="1"/>
  <c r="S42" i="1"/>
  <c r="R42" i="1"/>
  <c r="P42" i="1"/>
  <c r="Q42" i="1" s="1"/>
  <c r="A42" i="1"/>
  <c r="R41" i="1"/>
  <c r="S41" i="1" s="1"/>
  <c r="P41" i="1"/>
  <c r="Q41" i="1" s="1"/>
  <c r="A41" i="1"/>
  <c r="R40" i="1"/>
  <c r="S40" i="1" s="1"/>
  <c r="Q40" i="1"/>
  <c r="P40" i="1"/>
  <c r="A40" i="1"/>
  <c r="R39" i="1"/>
  <c r="S39" i="1" s="1"/>
  <c r="P39" i="1"/>
  <c r="Q39" i="1" s="1"/>
  <c r="A39" i="1"/>
  <c r="S38" i="1"/>
  <c r="R38" i="1"/>
  <c r="Q38" i="1"/>
  <c r="P38" i="1"/>
  <c r="A38" i="1"/>
  <c r="R37" i="1"/>
  <c r="S37" i="1" s="1"/>
  <c r="P37" i="1"/>
  <c r="Q37" i="1" s="1"/>
  <c r="A37" i="1"/>
  <c r="S36" i="1"/>
  <c r="R36" i="1"/>
  <c r="Q36" i="1"/>
  <c r="P36" i="1"/>
  <c r="A36" i="1"/>
  <c r="R35" i="1"/>
  <c r="S35" i="1" s="1"/>
  <c r="P35" i="1"/>
  <c r="Q35" i="1" s="1"/>
  <c r="A35" i="1"/>
  <c r="S34" i="1"/>
  <c r="R34" i="1"/>
  <c r="P34" i="1"/>
  <c r="Q34" i="1" s="1"/>
  <c r="A34" i="1"/>
  <c r="R33" i="1"/>
  <c r="S33" i="1" s="1"/>
  <c r="P33" i="1"/>
  <c r="Q33" i="1" s="1"/>
  <c r="A33" i="1"/>
  <c r="R32" i="1"/>
  <c r="S32" i="1" s="1"/>
  <c r="Q32" i="1"/>
  <c r="P32" i="1"/>
  <c r="A32" i="1"/>
  <c r="R31" i="1"/>
  <c r="S31" i="1" s="1"/>
  <c r="P31" i="1"/>
  <c r="Q31" i="1" s="1"/>
  <c r="A31" i="1"/>
  <c r="S30" i="1"/>
  <c r="R30" i="1"/>
  <c r="Q30" i="1"/>
  <c r="P30" i="1"/>
  <c r="A30" i="1"/>
  <c r="G29" i="1"/>
  <c r="O29" i="1" s="1"/>
  <c r="A29" i="1"/>
  <c r="O28" i="1"/>
  <c r="G28" i="1"/>
  <c r="A28" i="1"/>
  <c r="G27" i="1"/>
  <c r="O27" i="1" s="1"/>
  <c r="A27" i="1"/>
  <c r="G26" i="1"/>
  <c r="O26" i="1" s="1"/>
  <c r="A26" i="1"/>
  <c r="G25" i="1"/>
  <c r="O25" i="1" s="1"/>
  <c r="A25" i="1"/>
  <c r="O24" i="1"/>
  <c r="G24" i="1"/>
  <c r="A24" i="1"/>
  <c r="G23" i="1"/>
  <c r="O23" i="1" s="1"/>
  <c r="A23" i="1"/>
  <c r="O22" i="1"/>
  <c r="G22" i="1"/>
  <c r="A22" i="1"/>
  <c r="G21" i="1"/>
  <c r="O21" i="1" s="1"/>
  <c r="A21" i="1"/>
  <c r="O20" i="1"/>
  <c r="G20" i="1"/>
  <c r="A20" i="1"/>
  <c r="G19" i="1"/>
  <c r="O19" i="1" s="1"/>
  <c r="A19" i="1"/>
  <c r="G18" i="1"/>
  <c r="O18" i="1" s="1"/>
  <c r="A18" i="1"/>
  <c r="G17" i="1"/>
  <c r="O17" i="1" s="1"/>
  <c r="A17" i="1"/>
  <c r="O16" i="1"/>
  <c r="G16" i="1"/>
  <c r="A16" i="1"/>
  <c r="G15" i="1"/>
  <c r="O15" i="1" s="1"/>
  <c r="A15" i="1"/>
  <c r="O14" i="1"/>
  <c r="G14" i="1"/>
  <c r="A14" i="1"/>
  <c r="G13" i="1"/>
  <c r="O13" i="1" s="1"/>
  <c r="A13" i="1"/>
  <c r="O12" i="1"/>
  <c r="G12" i="1"/>
  <c r="A12" i="1"/>
  <c r="G11" i="1"/>
  <c r="O11" i="1" s="1"/>
  <c r="A11" i="1"/>
  <c r="G10" i="1"/>
  <c r="O10" i="1" s="1"/>
  <c r="A10" i="1"/>
  <c r="G9" i="1"/>
  <c r="O9" i="1" s="1"/>
  <c r="A9" i="1"/>
  <c r="O8" i="1"/>
  <c r="G8" i="1"/>
  <c r="A8" i="1"/>
  <c r="G7" i="1"/>
  <c r="O7" i="1" s="1"/>
  <c r="A7" i="1"/>
  <c r="O6" i="1"/>
  <c r="G6" i="1"/>
  <c r="A6" i="1"/>
  <c r="G5" i="1"/>
  <c r="O5" i="1" s="1"/>
  <c r="A5" i="1"/>
  <c r="O4" i="1"/>
  <c r="G4" i="1"/>
  <c r="A4" i="1"/>
  <c r="G3" i="1"/>
  <c r="O3" i="1" s="1"/>
  <c r="A3" i="1"/>
  <c r="G2" i="1"/>
  <c r="O2" i="1" s="1"/>
  <c r="A2" i="1"/>
</calcChain>
</file>

<file path=xl/sharedStrings.xml><?xml version="1.0" encoding="utf-8"?>
<sst xmlns="http://schemas.openxmlformats.org/spreadsheetml/2006/main" count="551" uniqueCount="32">
  <si>
    <t>symbol</t>
  </si>
  <si>
    <t>exchange</t>
  </si>
  <si>
    <t>txn_type</t>
  </si>
  <si>
    <t>qty</t>
  </si>
  <si>
    <t>order_type</t>
  </si>
  <si>
    <t>price</t>
  </si>
  <si>
    <t>trigger_price</t>
  </si>
  <si>
    <t>product</t>
  </si>
  <si>
    <t>validity</t>
  </si>
  <si>
    <t>variety</t>
  </si>
  <si>
    <t>disclosed_qty</t>
  </si>
  <si>
    <t>tag</t>
  </si>
  <si>
    <t>gtt</t>
  </si>
  <si>
    <t>gtt_type</t>
  </si>
  <si>
    <t>limit_price</t>
  </si>
  <si>
    <t>trigger_price_1</t>
  </si>
  <si>
    <t>limit_price_1</t>
  </si>
  <si>
    <t>trigger_price_2</t>
  </si>
  <si>
    <t>limit_price_2</t>
  </si>
  <si>
    <t>BUY</t>
  </si>
  <si>
    <t>DAY</t>
  </si>
  <si>
    <t>regular</t>
  </si>
  <si>
    <t>YES</t>
  </si>
  <si>
    <t>OCO</t>
  </si>
  <si>
    <t>LIMIT</t>
  </si>
  <si>
    <t xml:space="preserve"> </t>
  </si>
  <si>
    <t>BFO</t>
  </si>
  <si>
    <t>NRML</t>
  </si>
  <si>
    <t>SINGLE</t>
  </si>
  <si>
    <t>SELL</t>
  </si>
  <si>
    <t>B1</t>
  </si>
  <si>
    <t>S1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</si>
</sst>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Trading_Bot\zerodha_orders_template_OCO%20-%20Copy.xlsx" TargetMode="External"/><Relationship Id="rId1" Type="http://schemas.openxmlformats.org/officeDocument/2006/relationships/externalLinkPath" Target="zerodha_orders_template_OCO%20-%20Co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rders"/>
      <sheetName val="SENSEX"/>
      <sheetName val="NIFTY"/>
    </sheetNames>
    <sheetDataSet>
      <sheetData sheetId="0" refreshError="1"/>
      <sheetData sheetId="1">
        <row r="3">
          <cell r="D3">
            <v>338</v>
          </cell>
          <cell r="E3">
            <v>418</v>
          </cell>
          <cell r="Q3" t="str">
            <v>SENSEX25D1884600CE</v>
          </cell>
          <cell r="X3">
            <v>225</v>
          </cell>
        </row>
        <row r="4">
          <cell r="D4">
            <v>338</v>
          </cell>
          <cell r="E4">
            <v>418</v>
          </cell>
          <cell r="Q4" t="str">
            <v>SENSEX25D1884700CE</v>
          </cell>
          <cell r="X4">
            <v>225</v>
          </cell>
        </row>
        <row r="5">
          <cell r="D5">
            <v>338</v>
          </cell>
          <cell r="E5">
            <v>418</v>
          </cell>
          <cell r="Q5" t="str">
            <v>SENSEX25D1884800CE</v>
          </cell>
          <cell r="X5">
            <v>225</v>
          </cell>
        </row>
        <row r="6">
          <cell r="D6">
            <v>338</v>
          </cell>
          <cell r="E6">
            <v>418</v>
          </cell>
          <cell r="Q6" t="str">
            <v>SENSEX25D1884900CE</v>
          </cell>
          <cell r="X6">
            <v>225</v>
          </cell>
        </row>
        <row r="7">
          <cell r="D7">
            <v>288</v>
          </cell>
          <cell r="E7">
            <v>388</v>
          </cell>
          <cell r="Q7" t="str">
            <v>SENSEX25D1885000CE</v>
          </cell>
          <cell r="X7">
            <v>225</v>
          </cell>
        </row>
        <row r="8">
          <cell r="D8">
            <v>168</v>
          </cell>
          <cell r="E8">
            <v>218</v>
          </cell>
          <cell r="Q8" t="str">
            <v>SENSEX25D1885300CE</v>
          </cell>
          <cell r="X8">
            <v>110</v>
          </cell>
        </row>
        <row r="9">
          <cell r="D9">
            <v>68</v>
          </cell>
          <cell r="E9">
            <v>138</v>
          </cell>
          <cell r="Q9" t="str">
            <v>SENSEX25D1885600CE</v>
          </cell>
          <cell r="X9">
            <v>3</v>
          </cell>
        </row>
        <row r="10">
          <cell r="D10">
            <v>168</v>
          </cell>
          <cell r="E10">
            <v>218</v>
          </cell>
          <cell r="Q10" t="str">
            <v>SENSEX25D1885800CE</v>
          </cell>
          <cell r="X10">
            <v>110</v>
          </cell>
        </row>
        <row r="11">
          <cell r="D11">
            <v>338</v>
          </cell>
          <cell r="E11">
            <v>418</v>
          </cell>
          <cell r="Q11" t="str">
            <v>SENSEX25D1885000PE</v>
          </cell>
          <cell r="X11">
            <v>225</v>
          </cell>
        </row>
        <row r="12">
          <cell r="D12">
            <v>338</v>
          </cell>
          <cell r="E12">
            <v>418</v>
          </cell>
          <cell r="Q12" t="str">
            <v>SENSEX25D1884900PE</v>
          </cell>
          <cell r="X12">
            <v>225</v>
          </cell>
        </row>
        <row r="13">
          <cell r="D13">
            <v>338</v>
          </cell>
          <cell r="E13">
            <v>418</v>
          </cell>
          <cell r="Q13" t="str">
            <v>SENSEX25D1884800PE</v>
          </cell>
          <cell r="X13">
            <v>225</v>
          </cell>
        </row>
        <row r="14">
          <cell r="D14">
            <v>338</v>
          </cell>
          <cell r="E14">
            <v>418</v>
          </cell>
          <cell r="Q14" t="str">
            <v>SENSEX25D1884700PE</v>
          </cell>
          <cell r="X14">
            <v>225</v>
          </cell>
        </row>
        <row r="15">
          <cell r="D15">
            <v>288</v>
          </cell>
          <cell r="E15">
            <v>388</v>
          </cell>
          <cell r="Q15" t="str">
            <v>SENSEX25D1884600PE</v>
          </cell>
          <cell r="X15">
            <v>225</v>
          </cell>
        </row>
        <row r="16">
          <cell r="D16">
            <v>168</v>
          </cell>
          <cell r="E16">
            <v>218</v>
          </cell>
          <cell r="Q16" t="str">
            <v>SENSEX25D1884300PE</v>
          </cell>
          <cell r="X16">
            <v>110</v>
          </cell>
        </row>
        <row r="17">
          <cell r="D17">
            <v>68</v>
          </cell>
          <cell r="E17">
            <v>138</v>
          </cell>
          <cell r="Q17" t="str">
            <v>SENSEX25D1884000PE</v>
          </cell>
          <cell r="X17">
            <v>3</v>
          </cell>
        </row>
        <row r="18">
          <cell r="D18">
            <v>168</v>
          </cell>
          <cell r="E18">
            <v>218</v>
          </cell>
          <cell r="Q18" t="str">
            <v>SENSEX25D1883800PE</v>
          </cell>
          <cell r="X18">
            <v>110</v>
          </cell>
        </row>
        <row r="19">
          <cell r="D19">
            <v>338</v>
          </cell>
          <cell r="E19">
            <v>418</v>
          </cell>
          <cell r="Q19" t="str">
            <v>SENSEX25D1883800CE</v>
          </cell>
          <cell r="X19">
            <v>225</v>
          </cell>
        </row>
        <row r="20">
          <cell r="D20">
            <v>338</v>
          </cell>
          <cell r="E20">
            <v>418</v>
          </cell>
          <cell r="Q20" t="str">
            <v>SENSEX25D1883900CE</v>
          </cell>
          <cell r="X20">
            <v>225</v>
          </cell>
        </row>
        <row r="21">
          <cell r="D21">
            <v>288</v>
          </cell>
          <cell r="E21">
            <v>388</v>
          </cell>
          <cell r="Q21" t="str">
            <v>SENSEX25D1884000CE</v>
          </cell>
          <cell r="X21">
            <v>225</v>
          </cell>
        </row>
        <row r="22">
          <cell r="D22">
            <v>168</v>
          </cell>
          <cell r="E22">
            <v>218</v>
          </cell>
          <cell r="Q22" t="str">
            <v>SENSEX25D1884300CE</v>
          </cell>
          <cell r="X22">
            <v>110</v>
          </cell>
        </row>
        <row r="23">
          <cell r="D23">
            <v>68</v>
          </cell>
          <cell r="E23">
            <v>138</v>
          </cell>
          <cell r="Q23" t="str">
            <v>SENSEX25D1884600CE</v>
          </cell>
          <cell r="X23">
            <v>3</v>
          </cell>
        </row>
        <row r="24">
          <cell r="D24">
            <v>168</v>
          </cell>
          <cell r="E24">
            <v>218</v>
          </cell>
          <cell r="Q24" t="str">
            <v>SENSEX25D1884800CE</v>
          </cell>
          <cell r="X24">
            <v>110</v>
          </cell>
        </row>
        <row r="25">
          <cell r="D25">
            <v>338</v>
          </cell>
          <cell r="E25">
            <v>418</v>
          </cell>
          <cell r="Q25" t="str">
            <v>SENSEX25D1885800PE</v>
          </cell>
          <cell r="X25">
            <v>225</v>
          </cell>
        </row>
        <row r="26">
          <cell r="D26">
            <v>338</v>
          </cell>
          <cell r="E26">
            <v>418</v>
          </cell>
          <cell r="Q26" t="str">
            <v>SENSEX25D1885700PE</v>
          </cell>
          <cell r="X26">
            <v>225</v>
          </cell>
        </row>
        <row r="27">
          <cell r="D27">
            <v>288</v>
          </cell>
          <cell r="E27">
            <v>388</v>
          </cell>
          <cell r="Q27" t="str">
            <v>SENSEX25D1885600PE</v>
          </cell>
          <cell r="X27">
            <v>225</v>
          </cell>
        </row>
        <row r="28">
          <cell r="D28">
            <v>168</v>
          </cell>
          <cell r="E28">
            <v>218</v>
          </cell>
          <cell r="Q28" t="str">
            <v>SENSEX25D1885300PE</v>
          </cell>
          <cell r="X28">
            <v>110</v>
          </cell>
        </row>
        <row r="29">
          <cell r="D29">
            <v>68</v>
          </cell>
          <cell r="E29">
            <v>138</v>
          </cell>
          <cell r="Q29" t="str">
            <v>SENSEX25D1885000PE</v>
          </cell>
          <cell r="X29">
            <v>3</v>
          </cell>
        </row>
        <row r="30">
          <cell r="D30">
            <v>168</v>
          </cell>
          <cell r="E30">
            <v>218</v>
          </cell>
          <cell r="Q30" t="str">
            <v>SENSEX25D1884800PE</v>
          </cell>
          <cell r="X30">
            <v>110</v>
          </cell>
        </row>
      </sheetData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7"/>
  <sheetViews>
    <sheetView tabSelected="1" topLeftCell="A43" workbookViewId="0">
      <selection activeCell="A57" sqref="A57"/>
    </sheetView>
  </sheetViews>
  <sheetFormatPr defaultRowHeight="14.5" x14ac:dyDescent="0.35"/>
  <cols>
    <col min="1" max="1" width="19.453125" bestFit="1" customWidth="1"/>
    <col min="2" max="2" width="8.6328125" bestFit="1" customWidth="1"/>
    <col min="3" max="3" width="8.26953125" bestFit="1" customWidth="1"/>
    <col min="4" max="4" width="3.81640625" bestFit="1" customWidth="1"/>
    <col min="5" max="5" width="10.1796875" bestFit="1" customWidth="1"/>
    <col min="6" max="6" width="4.90625" bestFit="1" customWidth="1"/>
    <col min="7" max="7" width="11.36328125" bestFit="1" customWidth="1"/>
    <col min="8" max="8" width="8.26953125" bestFit="1" customWidth="1"/>
    <col min="9" max="9" width="6.81640625" bestFit="1" customWidth="1"/>
    <col min="10" max="10" width="6.7265625" bestFit="1" customWidth="1"/>
    <col min="11" max="11" width="12.1796875" bestFit="1" customWidth="1"/>
    <col min="12" max="12" width="15.08984375" bestFit="1" customWidth="1"/>
    <col min="13" max="13" width="3.7265625" bestFit="1" customWidth="1"/>
    <col min="14" max="14" width="7.90625" bestFit="1" customWidth="1"/>
    <col min="15" max="15" width="9.6328125" bestFit="1" customWidth="1"/>
    <col min="16" max="16" width="13.453125" bestFit="1" customWidth="1"/>
    <col min="17" max="17" width="11.6328125" bestFit="1" customWidth="1"/>
    <col min="18" max="18" width="13.453125" bestFit="1" customWidth="1"/>
    <col min="19" max="19" width="11.6328125" bestFit="1" customWidth="1"/>
  </cols>
  <sheetData>
    <row r="1" spans="1:1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35">
      <c r="A2" t="str">
        <f>[1]SENSEX!Q3</f>
        <v>SENSEX25D1884600CE</v>
      </c>
      <c r="B2" t="s">
        <v>26</v>
      </c>
      <c r="C2" t="s">
        <v>19</v>
      </c>
      <c r="D2">
        <v>60</v>
      </c>
      <c r="E2" t="s">
        <v>24</v>
      </c>
      <c r="G2">
        <f>[1]SENSEX!D3</f>
        <v>338</v>
      </c>
      <c r="H2" t="s">
        <v>27</v>
      </c>
      <c r="I2" t="s">
        <v>20</v>
      </c>
      <c r="J2" t="s">
        <v>21</v>
      </c>
      <c r="L2" t="s">
        <v>30</v>
      </c>
      <c r="M2" t="s">
        <v>22</v>
      </c>
      <c r="N2" t="s">
        <v>28</v>
      </c>
      <c r="O2">
        <f>G2-1</f>
        <v>337</v>
      </c>
    </row>
    <row r="3" spans="1:19" x14ac:dyDescent="0.35">
      <c r="A3" t="str">
        <f>[1]SENSEX!Q4</f>
        <v>SENSEX25D1884700CE</v>
      </c>
      <c r="B3" t="s">
        <v>26</v>
      </c>
      <c r="C3" t="s">
        <v>19</v>
      </c>
      <c r="D3">
        <v>60</v>
      </c>
      <c r="E3" t="s">
        <v>24</v>
      </c>
      <c r="G3">
        <f>[1]SENSEX!D4</f>
        <v>338</v>
      </c>
      <c r="H3" t="s">
        <v>27</v>
      </c>
      <c r="I3" t="s">
        <v>20</v>
      </c>
      <c r="J3" t="s">
        <v>21</v>
      </c>
      <c r="L3" t="s">
        <v>30</v>
      </c>
      <c r="M3" t="s">
        <v>22</v>
      </c>
      <c r="N3" t="s">
        <v>28</v>
      </c>
      <c r="O3">
        <f t="shared" ref="O3:O29" si="0">G3-1</f>
        <v>337</v>
      </c>
    </row>
    <row r="4" spans="1:19" x14ac:dyDescent="0.35">
      <c r="A4" t="str">
        <f>[1]SENSEX!Q5</f>
        <v>SENSEX25D1884800CE</v>
      </c>
      <c r="B4" t="s">
        <v>26</v>
      </c>
      <c r="C4" t="s">
        <v>19</v>
      </c>
      <c r="D4">
        <v>60</v>
      </c>
      <c r="E4" t="s">
        <v>24</v>
      </c>
      <c r="G4">
        <f>[1]SENSEX!D5</f>
        <v>338</v>
      </c>
      <c r="H4" t="s">
        <v>27</v>
      </c>
      <c r="I4" t="s">
        <v>20</v>
      </c>
      <c r="J4" t="s">
        <v>21</v>
      </c>
      <c r="L4" t="s">
        <v>30</v>
      </c>
      <c r="M4" t="s">
        <v>22</v>
      </c>
      <c r="N4" t="s">
        <v>28</v>
      </c>
      <c r="O4">
        <f t="shared" si="0"/>
        <v>337</v>
      </c>
    </row>
    <row r="5" spans="1:19" x14ac:dyDescent="0.35">
      <c r="A5" t="str">
        <f>[1]SENSEX!Q6</f>
        <v>SENSEX25D1884900CE</v>
      </c>
      <c r="B5" t="s">
        <v>26</v>
      </c>
      <c r="C5" t="s">
        <v>19</v>
      </c>
      <c r="D5">
        <v>60</v>
      </c>
      <c r="E5" t="s">
        <v>24</v>
      </c>
      <c r="G5">
        <f>[1]SENSEX!D6</f>
        <v>338</v>
      </c>
      <c r="H5" t="s">
        <v>27</v>
      </c>
      <c r="I5" t="s">
        <v>20</v>
      </c>
      <c r="J5" t="s">
        <v>21</v>
      </c>
      <c r="L5" t="s">
        <v>30</v>
      </c>
      <c r="M5" t="s">
        <v>22</v>
      </c>
      <c r="N5" t="s">
        <v>28</v>
      </c>
      <c r="O5">
        <f t="shared" si="0"/>
        <v>337</v>
      </c>
    </row>
    <row r="6" spans="1:19" x14ac:dyDescent="0.35">
      <c r="A6" t="str">
        <f>[1]SENSEX!Q7</f>
        <v>SENSEX25D1885000CE</v>
      </c>
      <c r="B6" t="s">
        <v>26</v>
      </c>
      <c r="C6" t="s">
        <v>19</v>
      </c>
      <c r="D6">
        <v>60</v>
      </c>
      <c r="E6" t="s">
        <v>24</v>
      </c>
      <c r="G6">
        <f>[1]SENSEX!D7</f>
        <v>288</v>
      </c>
      <c r="H6" t="s">
        <v>27</v>
      </c>
      <c r="I6" t="s">
        <v>20</v>
      </c>
      <c r="J6" t="s">
        <v>21</v>
      </c>
      <c r="L6" t="s">
        <v>30</v>
      </c>
      <c r="M6" t="s">
        <v>22</v>
      </c>
      <c r="N6" t="s">
        <v>28</v>
      </c>
      <c r="O6">
        <f t="shared" si="0"/>
        <v>287</v>
      </c>
    </row>
    <row r="7" spans="1:19" x14ac:dyDescent="0.35">
      <c r="A7" t="str">
        <f>[1]SENSEX!Q8</f>
        <v>SENSEX25D1885300CE</v>
      </c>
      <c r="B7" t="s">
        <v>26</v>
      </c>
      <c r="C7" t="s">
        <v>19</v>
      </c>
      <c r="D7">
        <v>60</v>
      </c>
      <c r="E7" t="s">
        <v>24</v>
      </c>
      <c r="G7">
        <f>[1]SENSEX!D8</f>
        <v>168</v>
      </c>
      <c r="H7" t="s">
        <v>27</v>
      </c>
      <c r="I7" t="s">
        <v>20</v>
      </c>
      <c r="J7" t="s">
        <v>21</v>
      </c>
      <c r="L7" t="s">
        <v>30</v>
      </c>
      <c r="M7" t="s">
        <v>22</v>
      </c>
      <c r="N7" t="s">
        <v>28</v>
      </c>
      <c r="O7">
        <f t="shared" si="0"/>
        <v>167</v>
      </c>
    </row>
    <row r="8" spans="1:19" x14ac:dyDescent="0.35">
      <c r="A8" t="str">
        <f>[1]SENSEX!Q9</f>
        <v>SENSEX25D1885600CE</v>
      </c>
      <c r="B8" t="s">
        <v>26</v>
      </c>
      <c r="C8" t="s">
        <v>19</v>
      </c>
      <c r="D8">
        <v>60</v>
      </c>
      <c r="E8" t="s">
        <v>24</v>
      </c>
      <c r="G8">
        <f>[1]SENSEX!D9</f>
        <v>68</v>
      </c>
      <c r="H8" t="s">
        <v>27</v>
      </c>
      <c r="I8" t="s">
        <v>20</v>
      </c>
      <c r="J8" t="s">
        <v>21</v>
      </c>
      <c r="L8" t="s">
        <v>30</v>
      </c>
      <c r="M8" t="s">
        <v>22</v>
      </c>
      <c r="N8" t="s">
        <v>28</v>
      </c>
      <c r="O8">
        <f t="shared" si="0"/>
        <v>67</v>
      </c>
    </row>
    <row r="9" spans="1:19" x14ac:dyDescent="0.35">
      <c r="A9" t="str">
        <f>[1]SENSEX!Q10</f>
        <v>SENSEX25D1885800CE</v>
      </c>
      <c r="B9" t="s">
        <v>26</v>
      </c>
      <c r="C9" t="s">
        <v>19</v>
      </c>
      <c r="D9">
        <v>60</v>
      </c>
      <c r="E9" t="s">
        <v>24</v>
      </c>
      <c r="G9">
        <f>[1]SENSEX!D10</f>
        <v>168</v>
      </c>
      <c r="H9" t="s">
        <v>27</v>
      </c>
      <c r="I9" t="s">
        <v>20</v>
      </c>
      <c r="J9" t="s">
        <v>21</v>
      </c>
      <c r="L9" t="s">
        <v>30</v>
      </c>
      <c r="M9" t="s">
        <v>22</v>
      </c>
      <c r="N9" t="s">
        <v>28</v>
      </c>
      <c r="O9">
        <f t="shared" si="0"/>
        <v>167</v>
      </c>
    </row>
    <row r="10" spans="1:19" x14ac:dyDescent="0.35">
      <c r="A10" t="str">
        <f>[1]SENSEX!Q11</f>
        <v>SENSEX25D1885000PE</v>
      </c>
      <c r="B10" t="s">
        <v>26</v>
      </c>
      <c r="C10" t="s">
        <v>19</v>
      </c>
      <c r="D10">
        <v>60</v>
      </c>
      <c r="E10" t="s">
        <v>24</v>
      </c>
      <c r="G10">
        <f>[1]SENSEX!D11</f>
        <v>338</v>
      </c>
      <c r="H10" t="s">
        <v>27</v>
      </c>
      <c r="I10" t="s">
        <v>20</v>
      </c>
      <c r="J10" t="s">
        <v>21</v>
      </c>
      <c r="L10" t="s">
        <v>30</v>
      </c>
      <c r="M10" t="s">
        <v>22</v>
      </c>
      <c r="N10" t="s">
        <v>28</v>
      </c>
      <c r="O10">
        <f t="shared" si="0"/>
        <v>337</v>
      </c>
    </row>
    <row r="11" spans="1:19" x14ac:dyDescent="0.35">
      <c r="A11" t="str">
        <f>[1]SENSEX!Q12</f>
        <v>SENSEX25D1884900PE</v>
      </c>
      <c r="B11" t="s">
        <v>26</v>
      </c>
      <c r="C11" t="s">
        <v>19</v>
      </c>
      <c r="D11">
        <v>60</v>
      </c>
      <c r="E11" t="s">
        <v>24</v>
      </c>
      <c r="G11">
        <f>[1]SENSEX!D12</f>
        <v>338</v>
      </c>
      <c r="H11" t="s">
        <v>27</v>
      </c>
      <c r="I11" t="s">
        <v>20</v>
      </c>
      <c r="J11" t="s">
        <v>21</v>
      </c>
      <c r="L11" t="s">
        <v>30</v>
      </c>
      <c r="M11" t="s">
        <v>22</v>
      </c>
      <c r="N11" t="s">
        <v>28</v>
      </c>
      <c r="O11">
        <f t="shared" si="0"/>
        <v>337</v>
      </c>
    </row>
    <row r="12" spans="1:19" x14ac:dyDescent="0.35">
      <c r="A12" t="str">
        <f>[1]SENSEX!Q13</f>
        <v>SENSEX25D1884800PE</v>
      </c>
      <c r="B12" t="s">
        <v>26</v>
      </c>
      <c r="C12" t="s">
        <v>19</v>
      </c>
      <c r="D12">
        <v>60</v>
      </c>
      <c r="E12" t="s">
        <v>24</v>
      </c>
      <c r="G12">
        <f>[1]SENSEX!D13</f>
        <v>338</v>
      </c>
      <c r="H12" t="s">
        <v>27</v>
      </c>
      <c r="I12" t="s">
        <v>20</v>
      </c>
      <c r="J12" t="s">
        <v>21</v>
      </c>
      <c r="L12" t="s">
        <v>30</v>
      </c>
      <c r="M12" t="s">
        <v>22</v>
      </c>
      <c r="N12" t="s">
        <v>28</v>
      </c>
      <c r="O12">
        <f t="shared" si="0"/>
        <v>337</v>
      </c>
    </row>
    <row r="13" spans="1:19" x14ac:dyDescent="0.35">
      <c r="A13" t="str">
        <f>[1]SENSEX!Q14</f>
        <v>SENSEX25D1884700PE</v>
      </c>
      <c r="B13" t="s">
        <v>26</v>
      </c>
      <c r="C13" t="s">
        <v>19</v>
      </c>
      <c r="D13">
        <v>60</v>
      </c>
      <c r="E13" t="s">
        <v>24</v>
      </c>
      <c r="G13">
        <f>[1]SENSEX!D14</f>
        <v>338</v>
      </c>
      <c r="H13" t="s">
        <v>27</v>
      </c>
      <c r="I13" t="s">
        <v>20</v>
      </c>
      <c r="J13" t="s">
        <v>21</v>
      </c>
      <c r="L13" t="s">
        <v>30</v>
      </c>
      <c r="M13" t="s">
        <v>22</v>
      </c>
      <c r="N13" t="s">
        <v>28</v>
      </c>
      <c r="O13">
        <f t="shared" si="0"/>
        <v>337</v>
      </c>
    </row>
    <row r="14" spans="1:19" x14ac:dyDescent="0.35">
      <c r="A14" t="str">
        <f>[1]SENSEX!Q15</f>
        <v>SENSEX25D1884600PE</v>
      </c>
      <c r="B14" t="s">
        <v>26</v>
      </c>
      <c r="C14" t="s">
        <v>19</v>
      </c>
      <c r="D14">
        <v>60</v>
      </c>
      <c r="E14" t="s">
        <v>24</v>
      </c>
      <c r="G14">
        <f>[1]SENSEX!D15</f>
        <v>288</v>
      </c>
      <c r="H14" t="s">
        <v>27</v>
      </c>
      <c r="I14" t="s">
        <v>20</v>
      </c>
      <c r="J14" t="s">
        <v>21</v>
      </c>
      <c r="L14" t="s">
        <v>30</v>
      </c>
      <c r="M14" t="s">
        <v>22</v>
      </c>
      <c r="N14" t="s">
        <v>28</v>
      </c>
      <c r="O14">
        <f t="shared" si="0"/>
        <v>287</v>
      </c>
    </row>
    <row r="15" spans="1:19" x14ac:dyDescent="0.35">
      <c r="A15" t="str">
        <f>[1]SENSEX!Q16</f>
        <v>SENSEX25D1884300PE</v>
      </c>
      <c r="B15" t="s">
        <v>26</v>
      </c>
      <c r="C15" t="s">
        <v>19</v>
      </c>
      <c r="D15">
        <v>60</v>
      </c>
      <c r="E15" t="s">
        <v>24</v>
      </c>
      <c r="G15">
        <f>[1]SENSEX!D16</f>
        <v>168</v>
      </c>
      <c r="H15" t="s">
        <v>27</v>
      </c>
      <c r="I15" t="s">
        <v>20</v>
      </c>
      <c r="J15" t="s">
        <v>21</v>
      </c>
      <c r="L15" t="s">
        <v>30</v>
      </c>
      <c r="M15" t="s">
        <v>22</v>
      </c>
      <c r="N15" t="s">
        <v>28</v>
      </c>
      <c r="O15">
        <f t="shared" si="0"/>
        <v>167</v>
      </c>
    </row>
    <row r="16" spans="1:19" x14ac:dyDescent="0.35">
      <c r="A16" t="str">
        <f>[1]SENSEX!Q17</f>
        <v>SENSEX25D1884000PE</v>
      </c>
      <c r="B16" t="s">
        <v>26</v>
      </c>
      <c r="C16" t="s">
        <v>19</v>
      </c>
      <c r="D16">
        <v>60</v>
      </c>
      <c r="E16" t="s">
        <v>24</v>
      </c>
      <c r="G16">
        <f>[1]SENSEX!D17</f>
        <v>68</v>
      </c>
      <c r="H16" t="s">
        <v>27</v>
      </c>
      <c r="I16" t="s">
        <v>20</v>
      </c>
      <c r="J16" t="s">
        <v>21</v>
      </c>
      <c r="L16" t="s">
        <v>30</v>
      </c>
      <c r="M16" t="s">
        <v>22</v>
      </c>
      <c r="N16" t="s">
        <v>28</v>
      </c>
      <c r="O16">
        <f t="shared" si="0"/>
        <v>67</v>
      </c>
    </row>
    <row r="17" spans="1:19" x14ac:dyDescent="0.35">
      <c r="A17" t="str">
        <f>[1]SENSEX!Q18</f>
        <v>SENSEX25D1883800PE</v>
      </c>
      <c r="B17" t="s">
        <v>26</v>
      </c>
      <c r="C17" t="s">
        <v>19</v>
      </c>
      <c r="D17">
        <v>60</v>
      </c>
      <c r="E17" t="s">
        <v>24</v>
      </c>
      <c r="G17">
        <f>[1]SENSEX!D18</f>
        <v>168</v>
      </c>
      <c r="H17" t="s">
        <v>27</v>
      </c>
      <c r="I17" t="s">
        <v>20</v>
      </c>
      <c r="J17" t="s">
        <v>21</v>
      </c>
      <c r="L17" t="s">
        <v>30</v>
      </c>
      <c r="M17" t="s">
        <v>22</v>
      </c>
      <c r="N17" t="s">
        <v>28</v>
      </c>
      <c r="O17">
        <f t="shared" si="0"/>
        <v>167</v>
      </c>
    </row>
    <row r="18" spans="1:19" x14ac:dyDescent="0.35">
      <c r="A18" t="str">
        <f>[1]SENSEX!Q19</f>
        <v>SENSEX25D1883800CE</v>
      </c>
      <c r="B18" t="s">
        <v>26</v>
      </c>
      <c r="C18" t="s">
        <v>19</v>
      </c>
      <c r="D18">
        <v>60</v>
      </c>
      <c r="E18" t="s">
        <v>24</v>
      </c>
      <c r="G18">
        <f>[1]SENSEX!D19</f>
        <v>338</v>
      </c>
      <c r="H18" t="s">
        <v>27</v>
      </c>
      <c r="I18" t="s">
        <v>20</v>
      </c>
      <c r="J18" t="s">
        <v>21</v>
      </c>
      <c r="L18" t="s">
        <v>30</v>
      </c>
      <c r="M18" t="s">
        <v>22</v>
      </c>
      <c r="N18" t="s">
        <v>28</v>
      </c>
      <c r="O18">
        <f t="shared" si="0"/>
        <v>337</v>
      </c>
    </row>
    <row r="19" spans="1:19" x14ac:dyDescent="0.35">
      <c r="A19" t="str">
        <f>[1]SENSEX!Q20</f>
        <v>SENSEX25D1883900CE</v>
      </c>
      <c r="B19" t="s">
        <v>26</v>
      </c>
      <c r="C19" t="s">
        <v>19</v>
      </c>
      <c r="D19">
        <v>60</v>
      </c>
      <c r="E19" t="s">
        <v>24</v>
      </c>
      <c r="G19">
        <f>[1]SENSEX!D20</f>
        <v>338</v>
      </c>
      <c r="H19" t="s">
        <v>27</v>
      </c>
      <c r="I19" t="s">
        <v>20</v>
      </c>
      <c r="J19" t="s">
        <v>21</v>
      </c>
      <c r="L19" t="s">
        <v>30</v>
      </c>
      <c r="M19" t="s">
        <v>22</v>
      </c>
      <c r="N19" t="s">
        <v>28</v>
      </c>
      <c r="O19">
        <f t="shared" si="0"/>
        <v>337</v>
      </c>
    </row>
    <row r="20" spans="1:19" x14ac:dyDescent="0.35">
      <c r="A20" t="str">
        <f>[1]SENSEX!Q21</f>
        <v>SENSEX25D1884000CE</v>
      </c>
      <c r="B20" t="s">
        <v>26</v>
      </c>
      <c r="C20" t="s">
        <v>19</v>
      </c>
      <c r="D20">
        <v>60</v>
      </c>
      <c r="E20" t="s">
        <v>24</v>
      </c>
      <c r="G20">
        <f>[1]SENSEX!D21</f>
        <v>288</v>
      </c>
      <c r="H20" t="s">
        <v>27</v>
      </c>
      <c r="I20" t="s">
        <v>20</v>
      </c>
      <c r="J20" t="s">
        <v>21</v>
      </c>
      <c r="L20" t="s">
        <v>30</v>
      </c>
      <c r="M20" t="s">
        <v>22</v>
      </c>
      <c r="N20" t="s">
        <v>28</v>
      </c>
      <c r="O20">
        <f t="shared" si="0"/>
        <v>287</v>
      </c>
    </row>
    <row r="21" spans="1:19" x14ac:dyDescent="0.35">
      <c r="A21" t="str">
        <f>[1]SENSEX!Q22</f>
        <v>SENSEX25D1884300CE</v>
      </c>
      <c r="B21" t="s">
        <v>26</v>
      </c>
      <c r="C21" t="s">
        <v>19</v>
      </c>
      <c r="D21">
        <v>60</v>
      </c>
      <c r="E21" t="s">
        <v>24</v>
      </c>
      <c r="G21">
        <f>[1]SENSEX!D22</f>
        <v>168</v>
      </c>
      <c r="H21" t="s">
        <v>27</v>
      </c>
      <c r="I21" t="s">
        <v>20</v>
      </c>
      <c r="J21" t="s">
        <v>21</v>
      </c>
      <c r="L21" t="s">
        <v>30</v>
      </c>
      <c r="M21" t="s">
        <v>22</v>
      </c>
      <c r="N21" t="s">
        <v>28</v>
      </c>
      <c r="O21">
        <f t="shared" si="0"/>
        <v>167</v>
      </c>
    </row>
    <row r="22" spans="1:19" x14ac:dyDescent="0.35">
      <c r="A22" t="str">
        <f>[1]SENSEX!Q23</f>
        <v>SENSEX25D1884600CE</v>
      </c>
      <c r="B22" t="s">
        <v>26</v>
      </c>
      <c r="C22" t="s">
        <v>19</v>
      </c>
      <c r="D22">
        <v>60</v>
      </c>
      <c r="E22" t="s">
        <v>24</v>
      </c>
      <c r="G22">
        <f>[1]SENSEX!D23</f>
        <v>68</v>
      </c>
      <c r="H22" t="s">
        <v>27</v>
      </c>
      <c r="I22" t="s">
        <v>20</v>
      </c>
      <c r="J22" t="s">
        <v>21</v>
      </c>
      <c r="L22" t="s">
        <v>30</v>
      </c>
      <c r="M22" t="s">
        <v>22</v>
      </c>
      <c r="N22" t="s">
        <v>28</v>
      </c>
      <c r="O22">
        <f t="shared" si="0"/>
        <v>67</v>
      </c>
    </row>
    <row r="23" spans="1:19" x14ac:dyDescent="0.35">
      <c r="A23" t="str">
        <f>[1]SENSEX!Q24</f>
        <v>SENSEX25D1884800CE</v>
      </c>
      <c r="B23" t="s">
        <v>26</v>
      </c>
      <c r="C23" t="s">
        <v>19</v>
      </c>
      <c r="D23">
        <v>60</v>
      </c>
      <c r="E23" t="s">
        <v>24</v>
      </c>
      <c r="G23">
        <f>[1]SENSEX!D24</f>
        <v>168</v>
      </c>
      <c r="H23" t="s">
        <v>27</v>
      </c>
      <c r="I23" t="s">
        <v>20</v>
      </c>
      <c r="J23" t="s">
        <v>21</v>
      </c>
      <c r="L23" t="s">
        <v>30</v>
      </c>
      <c r="M23" t="s">
        <v>22</v>
      </c>
      <c r="N23" t="s">
        <v>28</v>
      </c>
      <c r="O23">
        <f t="shared" si="0"/>
        <v>167</v>
      </c>
    </row>
    <row r="24" spans="1:19" x14ac:dyDescent="0.35">
      <c r="A24" t="str">
        <f>[1]SENSEX!Q25</f>
        <v>SENSEX25D1885800PE</v>
      </c>
      <c r="B24" t="s">
        <v>26</v>
      </c>
      <c r="C24" t="s">
        <v>19</v>
      </c>
      <c r="D24">
        <v>60</v>
      </c>
      <c r="E24" t="s">
        <v>24</v>
      </c>
      <c r="G24">
        <f>[1]SENSEX!D25</f>
        <v>338</v>
      </c>
      <c r="H24" t="s">
        <v>27</v>
      </c>
      <c r="I24" t="s">
        <v>20</v>
      </c>
      <c r="J24" t="s">
        <v>21</v>
      </c>
      <c r="L24" t="s">
        <v>30</v>
      </c>
      <c r="M24" t="s">
        <v>22</v>
      </c>
      <c r="N24" t="s">
        <v>28</v>
      </c>
      <c r="O24">
        <f t="shared" si="0"/>
        <v>337</v>
      </c>
    </row>
    <row r="25" spans="1:19" x14ac:dyDescent="0.35">
      <c r="A25" t="str">
        <f>[1]SENSEX!Q26</f>
        <v>SENSEX25D1885700PE</v>
      </c>
      <c r="B25" t="s">
        <v>26</v>
      </c>
      <c r="C25" t="s">
        <v>19</v>
      </c>
      <c r="D25">
        <v>60</v>
      </c>
      <c r="E25" t="s">
        <v>24</v>
      </c>
      <c r="G25">
        <f>[1]SENSEX!D26</f>
        <v>338</v>
      </c>
      <c r="H25" t="s">
        <v>27</v>
      </c>
      <c r="I25" t="s">
        <v>20</v>
      </c>
      <c r="J25" t="s">
        <v>21</v>
      </c>
      <c r="L25" t="s">
        <v>30</v>
      </c>
      <c r="M25" t="s">
        <v>22</v>
      </c>
      <c r="N25" t="s">
        <v>28</v>
      </c>
      <c r="O25">
        <f t="shared" si="0"/>
        <v>337</v>
      </c>
    </row>
    <row r="26" spans="1:19" x14ac:dyDescent="0.35">
      <c r="A26" t="str">
        <f>[1]SENSEX!Q27</f>
        <v>SENSEX25D1885600PE</v>
      </c>
      <c r="B26" t="s">
        <v>26</v>
      </c>
      <c r="C26" t="s">
        <v>19</v>
      </c>
      <c r="D26">
        <v>60</v>
      </c>
      <c r="E26" t="s">
        <v>24</v>
      </c>
      <c r="G26">
        <f>[1]SENSEX!D27</f>
        <v>288</v>
      </c>
      <c r="H26" t="s">
        <v>27</v>
      </c>
      <c r="I26" t="s">
        <v>20</v>
      </c>
      <c r="J26" t="s">
        <v>21</v>
      </c>
      <c r="L26" t="s">
        <v>30</v>
      </c>
      <c r="M26" t="s">
        <v>22</v>
      </c>
      <c r="N26" t="s">
        <v>28</v>
      </c>
      <c r="O26">
        <f t="shared" si="0"/>
        <v>287</v>
      </c>
    </row>
    <row r="27" spans="1:19" x14ac:dyDescent="0.35">
      <c r="A27" t="str">
        <f>[1]SENSEX!Q28</f>
        <v>SENSEX25D1885300PE</v>
      </c>
      <c r="B27" t="s">
        <v>26</v>
      </c>
      <c r="C27" t="s">
        <v>19</v>
      </c>
      <c r="D27">
        <v>60</v>
      </c>
      <c r="E27" t="s">
        <v>24</v>
      </c>
      <c r="G27">
        <f>[1]SENSEX!D28</f>
        <v>168</v>
      </c>
      <c r="H27" t="s">
        <v>27</v>
      </c>
      <c r="I27" t="s">
        <v>20</v>
      </c>
      <c r="J27" t="s">
        <v>21</v>
      </c>
      <c r="L27" t="s">
        <v>30</v>
      </c>
      <c r="M27" t="s">
        <v>22</v>
      </c>
      <c r="N27" t="s">
        <v>28</v>
      </c>
      <c r="O27">
        <f t="shared" si="0"/>
        <v>167</v>
      </c>
    </row>
    <row r="28" spans="1:19" x14ac:dyDescent="0.35">
      <c r="A28" t="str">
        <f>[1]SENSEX!Q29</f>
        <v>SENSEX25D1885000PE</v>
      </c>
      <c r="B28" t="s">
        <v>26</v>
      </c>
      <c r="C28" t="s">
        <v>19</v>
      </c>
      <c r="D28">
        <v>60</v>
      </c>
      <c r="E28" t="s">
        <v>24</v>
      </c>
      <c r="G28">
        <f>[1]SENSEX!D29</f>
        <v>68</v>
      </c>
      <c r="H28" t="s">
        <v>27</v>
      </c>
      <c r="I28" t="s">
        <v>20</v>
      </c>
      <c r="J28" t="s">
        <v>21</v>
      </c>
      <c r="L28" t="s">
        <v>30</v>
      </c>
      <c r="M28" t="s">
        <v>22</v>
      </c>
      <c r="N28" t="s">
        <v>28</v>
      </c>
      <c r="O28">
        <f t="shared" si="0"/>
        <v>67</v>
      </c>
    </row>
    <row r="29" spans="1:19" x14ac:dyDescent="0.35">
      <c r="A29" t="str">
        <f>[1]SENSEX!Q30</f>
        <v>SENSEX25D1884800PE</v>
      </c>
      <c r="B29" t="s">
        <v>26</v>
      </c>
      <c r="C29" t="s">
        <v>19</v>
      </c>
      <c r="D29">
        <v>60</v>
      </c>
      <c r="E29" t="s">
        <v>24</v>
      </c>
      <c r="G29">
        <f>[1]SENSEX!D30</f>
        <v>168</v>
      </c>
      <c r="H29" t="s">
        <v>27</v>
      </c>
      <c r="I29" t="s">
        <v>20</v>
      </c>
      <c r="J29" t="s">
        <v>21</v>
      </c>
      <c r="L29" t="s">
        <v>30</v>
      </c>
      <c r="M29" t="s">
        <v>22</v>
      </c>
      <c r="N29" t="s">
        <v>28</v>
      </c>
      <c r="O29">
        <f t="shared" si="0"/>
        <v>167</v>
      </c>
    </row>
    <row r="30" spans="1:19" x14ac:dyDescent="0.35">
      <c r="A30" t="str">
        <f>[1]SENSEX!Q3</f>
        <v>SENSEX25D1884600CE</v>
      </c>
      <c r="B30" t="s">
        <v>26</v>
      </c>
      <c r="C30" t="s">
        <v>29</v>
      </c>
      <c r="D30">
        <v>60</v>
      </c>
      <c r="E30" t="s">
        <v>24</v>
      </c>
      <c r="F30" t="s">
        <v>25</v>
      </c>
      <c r="H30" t="s">
        <v>27</v>
      </c>
      <c r="I30" t="s">
        <v>20</v>
      </c>
      <c r="J30" t="s">
        <v>21</v>
      </c>
      <c r="L30" t="s">
        <v>31</v>
      </c>
      <c r="M30" t="s">
        <v>22</v>
      </c>
      <c r="N30" t="s">
        <v>23</v>
      </c>
      <c r="P30">
        <f>[1]SENSEX!X3</f>
        <v>225</v>
      </c>
      <c r="Q30">
        <f>P30-2</f>
        <v>223</v>
      </c>
      <c r="R30">
        <f>[1]SENSEX!E3</f>
        <v>418</v>
      </c>
      <c r="S30">
        <f>R30-3</f>
        <v>415</v>
      </c>
    </row>
    <row r="31" spans="1:19" x14ac:dyDescent="0.35">
      <c r="A31" t="str">
        <f>[1]SENSEX!Q4</f>
        <v>SENSEX25D1884700CE</v>
      </c>
      <c r="B31" t="s">
        <v>26</v>
      </c>
      <c r="C31" t="s">
        <v>29</v>
      </c>
      <c r="D31">
        <v>20</v>
      </c>
      <c r="E31" t="s">
        <v>24</v>
      </c>
      <c r="F31" t="s">
        <v>25</v>
      </c>
      <c r="H31" t="s">
        <v>27</v>
      </c>
      <c r="I31" t="s">
        <v>20</v>
      </c>
      <c r="J31" t="s">
        <v>21</v>
      </c>
      <c r="L31" t="s">
        <v>31</v>
      </c>
      <c r="M31" t="s">
        <v>22</v>
      </c>
      <c r="N31" t="s">
        <v>23</v>
      </c>
      <c r="P31">
        <f>[1]SENSEX!X4</f>
        <v>225</v>
      </c>
      <c r="Q31">
        <f t="shared" ref="Q31:Q57" si="1">P31-2</f>
        <v>223</v>
      </c>
      <c r="R31">
        <f>[1]SENSEX!E4</f>
        <v>418</v>
      </c>
      <c r="S31">
        <f t="shared" ref="S31:S57" si="2">R31-3</f>
        <v>415</v>
      </c>
    </row>
    <row r="32" spans="1:19" x14ac:dyDescent="0.35">
      <c r="A32" t="str">
        <f>[1]SENSEX!Q5</f>
        <v>SENSEX25D1884800CE</v>
      </c>
      <c r="B32" t="s">
        <v>26</v>
      </c>
      <c r="C32" t="s">
        <v>29</v>
      </c>
      <c r="D32">
        <v>20</v>
      </c>
      <c r="E32" t="s">
        <v>24</v>
      </c>
      <c r="F32" t="s">
        <v>25</v>
      </c>
      <c r="H32" t="s">
        <v>27</v>
      </c>
      <c r="I32" t="s">
        <v>20</v>
      </c>
      <c r="J32" t="s">
        <v>21</v>
      </c>
      <c r="L32" t="s">
        <v>31</v>
      </c>
      <c r="M32" t="s">
        <v>22</v>
      </c>
      <c r="N32" t="s">
        <v>23</v>
      </c>
      <c r="P32">
        <f>[1]SENSEX!X5</f>
        <v>225</v>
      </c>
      <c r="Q32">
        <f t="shared" si="1"/>
        <v>223</v>
      </c>
      <c r="R32">
        <f>[1]SENSEX!E5</f>
        <v>418</v>
      </c>
      <c r="S32">
        <f t="shared" si="2"/>
        <v>415</v>
      </c>
    </row>
    <row r="33" spans="1:19" x14ac:dyDescent="0.35">
      <c r="A33" t="str">
        <f>[1]SENSEX!Q6</f>
        <v>SENSEX25D1884900CE</v>
      </c>
      <c r="B33" t="s">
        <v>26</v>
      </c>
      <c r="C33" t="s">
        <v>29</v>
      </c>
      <c r="D33">
        <v>20</v>
      </c>
      <c r="E33" t="s">
        <v>24</v>
      </c>
      <c r="F33" t="s">
        <v>25</v>
      </c>
      <c r="H33" t="s">
        <v>27</v>
      </c>
      <c r="I33" t="s">
        <v>20</v>
      </c>
      <c r="J33" t="s">
        <v>21</v>
      </c>
      <c r="L33" t="s">
        <v>31</v>
      </c>
      <c r="M33" t="s">
        <v>22</v>
      </c>
      <c r="N33" t="s">
        <v>23</v>
      </c>
      <c r="P33">
        <f>[1]SENSEX!X6</f>
        <v>225</v>
      </c>
      <c r="Q33">
        <f t="shared" si="1"/>
        <v>223</v>
      </c>
      <c r="R33">
        <f>[1]SENSEX!E6</f>
        <v>418</v>
      </c>
      <c r="S33">
        <f t="shared" si="2"/>
        <v>415</v>
      </c>
    </row>
    <row r="34" spans="1:19" x14ac:dyDescent="0.35">
      <c r="A34" t="str">
        <f>[1]SENSEX!Q7</f>
        <v>SENSEX25D1885000CE</v>
      </c>
      <c r="B34" t="s">
        <v>26</v>
      </c>
      <c r="C34" t="s">
        <v>29</v>
      </c>
      <c r="D34">
        <v>20</v>
      </c>
      <c r="E34" t="s">
        <v>24</v>
      </c>
      <c r="F34" t="s">
        <v>25</v>
      </c>
      <c r="H34" t="s">
        <v>27</v>
      </c>
      <c r="I34" t="s">
        <v>20</v>
      </c>
      <c r="J34" t="s">
        <v>21</v>
      </c>
      <c r="L34" t="s">
        <v>31</v>
      </c>
      <c r="M34" t="s">
        <v>22</v>
      </c>
      <c r="N34" t="s">
        <v>23</v>
      </c>
      <c r="P34">
        <f>[1]SENSEX!X7</f>
        <v>225</v>
      </c>
      <c r="Q34">
        <f t="shared" si="1"/>
        <v>223</v>
      </c>
      <c r="R34">
        <f>[1]SENSEX!E7</f>
        <v>388</v>
      </c>
      <c r="S34">
        <f t="shared" si="2"/>
        <v>385</v>
      </c>
    </row>
    <row r="35" spans="1:19" x14ac:dyDescent="0.35">
      <c r="A35" t="str">
        <f>[1]SENSEX!Q8</f>
        <v>SENSEX25D1885300CE</v>
      </c>
      <c r="B35" t="s">
        <v>26</v>
      </c>
      <c r="C35" t="s">
        <v>29</v>
      </c>
      <c r="D35">
        <v>20</v>
      </c>
      <c r="E35" t="s">
        <v>24</v>
      </c>
      <c r="F35" t="s">
        <v>25</v>
      </c>
      <c r="H35" t="s">
        <v>27</v>
      </c>
      <c r="I35" t="s">
        <v>20</v>
      </c>
      <c r="J35" t="s">
        <v>21</v>
      </c>
      <c r="L35" t="s">
        <v>31</v>
      </c>
      <c r="M35" t="s">
        <v>22</v>
      </c>
      <c r="N35" t="s">
        <v>23</v>
      </c>
      <c r="P35">
        <f>[1]SENSEX!X8</f>
        <v>110</v>
      </c>
      <c r="Q35">
        <f t="shared" si="1"/>
        <v>108</v>
      </c>
      <c r="R35">
        <f>[1]SENSEX!E8</f>
        <v>218</v>
      </c>
      <c r="S35">
        <f t="shared" si="2"/>
        <v>215</v>
      </c>
    </row>
    <row r="36" spans="1:19" x14ac:dyDescent="0.35">
      <c r="A36" t="str">
        <f>[1]SENSEX!Q9</f>
        <v>SENSEX25D1885600CE</v>
      </c>
      <c r="B36" t="s">
        <v>26</v>
      </c>
      <c r="C36" t="s">
        <v>29</v>
      </c>
      <c r="D36">
        <v>20</v>
      </c>
      <c r="E36" t="s">
        <v>24</v>
      </c>
      <c r="F36" t="s">
        <v>25</v>
      </c>
      <c r="H36" t="s">
        <v>27</v>
      </c>
      <c r="I36" t="s">
        <v>20</v>
      </c>
      <c r="J36" t="s">
        <v>21</v>
      </c>
      <c r="L36" t="s">
        <v>31</v>
      </c>
      <c r="M36" t="s">
        <v>22</v>
      </c>
      <c r="N36" t="s">
        <v>23</v>
      </c>
      <c r="P36">
        <f>[1]SENSEX!X9</f>
        <v>3</v>
      </c>
      <c r="Q36">
        <f t="shared" si="1"/>
        <v>1</v>
      </c>
      <c r="R36">
        <f>[1]SENSEX!E9</f>
        <v>138</v>
      </c>
      <c r="S36">
        <f t="shared" si="2"/>
        <v>135</v>
      </c>
    </row>
    <row r="37" spans="1:19" x14ac:dyDescent="0.35">
      <c r="A37" t="str">
        <f>[1]SENSEX!Q10</f>
        <v>SENSEX25D1885800CE</v>
      </c>
      <c r="B37" t="s">
        <v>26</v>
      </c>
      <c r="C37" t="s">
        <v>29</v>
      </c>
      <c r="D37">
        <v>20</v>
      </c>
      <c r="E37" t="s">
        <v>24</v>
      </c>
      <c r="F37" t="s">
        <v>25</v>
      </c>
      <c r="H37" t="s">
        <v>27</v>
      </c>
      <c r="I37" t="s">
        <v>20</v>
      </c>
      <c r="J37" t="s">
        <v>21</v>
      </c>
      <c r="L37" t="s">
        <v>31</v>
      </c>
      <c r="M37" t="s">
        <v>22</v>
      </c>
      <c r="N37" t="s">
        <v>23</v>
      </c>
      <c r="P37">
        <f>[1]SENSEX!X10</f>
        <v>110</v>
      </c>
      <c r="Q37">
        <f t="shared" si="1"/>
        <v>108</v>
      </c>
      <c r="R37">
        <f>[1]SENSEX!E10</f>
        <v>218</v>
      </c>
      <c r="S37">
        <f t="shared" si="2"/>
        <v>215</v>
      </c>
    </row>
    <row r="38" spans="1:19" x14ac:dyDescent="0.35">
      <c r="A38" t="str">
        <f>[1]SENSEX!Q11</f>
        <v>SENSEX25D1885000PE</v>
      </c>
      <c r="B38" t="s">
        <v>26</v>
      </c>
      <c r="C38" t="s">
        <v>29</v>
      </c>
      <c r="D38">
        <v>20</v>
      </c>
      <c r="E38" t="s">
        <v>24</v>
      </c>
      <c r="F38" t="s">
        <v>25</v>
      </c>
      <c r="H38" t="s">
        <v>27</v>
      </c>
      <c r="I38" t="s">
        <v>20</v>
      </c>
      <c r="J38" t="s">
        <v>21</v>
      </c>
      <c r="L38" t="s">
        <v>31</v>
      </c>
      <c r="M38" t="s">
        <v>22</v>
      </c>
      <c r="N38" t="s">
        <v>23</v>
      </c>
      <c r="P38">
        <f>[1]SENSEX!X11</f>
        <v>225</v>
      </c>
      <c r="Q38">
        <f t="shared" si="1"/>
        <v>223</v>
      </c>
      <c r="R38">
        <f>[1]SENSEX!E11</f>
        <v>418</v>
      </c>
      <c r="S38">
        <f t="shared" si="2"/>
        <v>415</v>
      </c>
    </row>
    <row r="39" spans="1:19" x14ac:dyDescent="0.35">
      <c r="A39" t="str">
        <f>[1]SENSEX!Q12</f>
        <v>SENSEX25D1884900PE</v>
      </c>
      <c r="B39" t="s">
        <v>26</v>
      </c>
      <c r="C39" t="s">
        <v>29</v>
      </c>
      <c r="D39">
        <v>20</v>
      </c>
      <c r="E39" t="s">
        <v>24</v>
      </c>
      <c r="F39" t="s">
        <v>25</v>
      </c>
      <c r="H39" t="s">
        <v>27</v>
      </c>
      <c r="I39" t="s">
        <v>20</v>
      </c>
      <c r="J39" t="s">
        <v>21</v>
      </c>
      <c r="L39" t="s">
        <v>31</v>
      </c>
      <c r="M39" t="s">
        <v>22</v>
      </c>
      <c r="N39" t="s">
        <v>23</v>
      </c>
      <c r="P39">
        <f>[1]SENSEX!X12</f>
        <v>225</v>
      </c>
      <c r="Q39">
        <f t="shared" si="1"/>
        <v>223</v>
      </c>
      <c r="R39">
        <f>[1]SENSEX!E12</f>
        <v>418</v>
      </c>
      <c r="S39">
        <f t="shared" si="2"/>
        <v>415</v>
      </c>
    </row>
    <row r="40" spans="1:19" x14ac:dyDescent="0.35">
      <c r="A40" t="str">
        <f>[1]SENSEX!Q13</f>
        <v>SENSEX25D1884800PE</v>
      </c>
      <c r="B40" t="s">
        <v>26</v>
      </c>
      <c r="C40" t="s">
        <v>29</v>
      </c>
      <c r="D40">
        <v>20</v>
      </c>
      <c r="E40" t="s">
        <v>24</v>
      </c>
      <c r="F40" t="s">
        <v>25</v>
      </c>
      <c r="H40" t="s">
        <v>27</v>
      </c>
      <c r="I40" t="s">
        <v>20</v>
      </c>
      <c r="J40" t="s">
        <v>21</v>
      </c>
      <c r="L40" t="s">
        <v>31</v>
      </c>
      <c r="M40" t="s">
        <v>22</v>
      </c>
      <c r="N40" t="s">
        <v>23</v>
      </c>
      <c r="P40">
        <f>[1]SENSEX!X13</f>
        <v>225</v>
      </c>
      <c r="Q40">
        <f t="shared" si="1"/>
        <v>223</v>
      </c>
      <c r="R40">
        <f>[1]SENSEX!E13</f>
        <v>418</v>
      </c>
      <c r="S40">
        <f t="shared" si="2"/>
        <v>415</v>
      </c>
    </row>
    <row r="41" spans="1:19" x14ac:dyDescent="0.35">
      <c r="A41" t="str">
        <f>[1]SENSEX!Q14</f>
        <v>SENSEX25D1884700PE</v>
      </c>
      <c r="B41" t="s">
        <v>26</v>
      </c>
      <c r="C41" t="s">
        <v>29</v>
      </c>
      <c r="D41">
        <v>20</v>
      </c>
      <c r="E41" t="s">
        <v>24</v>
      </c>
      <c r="F41" t="s">
        <v>25</v>
      </c>
      <c r="H41" t="s">
        <v>27</v>
      </c>
      <c r="I41" t="s">
        <v>20</v>
      </c>
      <c r="J41" t="s">
        <v>21</v>
      </c>
      <c r="L41" t="s">
        <v>31</v>
      </c>
      <c r="M41" t="s">
        <v>22</v>
      </c>
      <c r="N41" t="s">
        <v>23</v>
      </c>
      <c r="P41">
        <f>[1]SENSEX!X14</f>
        <v>225</v>
      </c>
      <c r="Q41">
        <f t="shared" si="1"/>
        <v>223</v>
      </c>
      <c r="R41">
        <f>[1]SENSEX!E14</f>
        <v>418</v>
      </c>
      <c r="S41">
        <f t="shared" si="2"/>
        <v>415</v>
      </c>
    </row>
    <row r="42" spans="1:19" x14ac:dyDescent="0.35">
      <c r="A42" t="str">
        <f>[1]SENSEX!Q15</f>
        <v>SENSEX25D1884600PE</v>
      </c>
      <c r="B42" t="s">
        <v>26</v>
      </c>
      <c r="C42" t="s">
        <v>29</v>
      </c>
      <c r="D42">
        <v>20</v>
      </c>
      <c r="E42" t="s">
        <v>24</v>
      </c>
      <c r="F42" t="s">
        <v>25</v>
      </c>
      <c r="H42" t="s">
        <v>27</v>
      </c>
      <c r="I42" t="s">
        <v>20</v>
      </c>
      <c r="J42" t="s">
        <v>21</v>
      </c>
      <c r="L42" t="s">
        <v>31</v>
      </c>
      <c r="M42" t="s">
        <v>22</v>
      </c>
      <c r="N42" t="s">
        <v>23</v>
      </c>
      <c r="P42">
        <f>[1]SENSEX!X15</f>
        <v>225</v>
      </c>
      <c r="Q42">
        <f t="shared" si="1"/>
        <v>223</v>
      </c>
      <c r="R42">
        <f>[1]SENSEX!E15</f>
        <v>388</v>
      </c>
      <c r="S42">
        <f t="shared" si="2"/>
        <v>385</v>
      </c>
    </row>
    <row r="43" spans="1:19" x14ac:dyDescent="0.35">
      <c r="A43" t="str">
        <f>[1]SENSEX!Q16</f>
        <v>SENSEX25D1884300PE</v>
      </c>
      <c r="B43" t="s">
        <v>26</v>
      </c>
      <c r="C43" t="s">
        <v>29</v>
      </c>
      <c r="D43">
        <v>20</v>
      </c>
      <c r="E43" t="s">
        <v>24</v>
      </c>
      <c r="F43" t="s">
        <v>25</v>
      </c>
      <c r="H43" t="s">
        <v>27</v>
      </c>
      <c r="I43" t="s">
        <v>20</v>
      </c>
      <c r="J43" t="s">
        <v>21</v>
      </c>
      <c r="L43" t="s">
        <v>31</v>
      </c>
      <c r="M43" t="s">
        <v>22</v>
      </c>
      <c r="N43" t="s">
        <v>23</v>
      </c>
      <c r="P43">
        <f>[1]SENSEX!X16</f>
        <v>110</v>
      </c>
      <c r="Q43">
        <f t="shared" si="1"/>
        <v>108</v>
      </c>
      <c r="R43">
        <f>[1]SENSEX!E16</f>
        <v>218</v>
      </c>
      <c r="S43">
        <f t="shared" si="2"/>
        <v>215</v>
      </c>
    </row>
    <row r="44" spans="1:19" x14ac:dyDescent="0.35">
      <c r="A44" t="str">
        <f>[1]SENSEX!Q17</f>
        <v>SENSEX25D1884000PE</v>
      </c>
      <c r="B44" t="s">
        <v>26</v>
      </c>
      <c r="C44" t="s">
        <v>29</v>
      </c>
      <c r="D44">
        <v>20</v>
      </c>
      <c r="E44" t="s">
        <v>24</v>
      </c>
      <c r="F44" t="s">
        <v>25</v>
      </c>
      <c r="H44" t="s">
        <v>27</v>
      </c>
      <c r="I44" t="s">
        <v>20</v>
      </c>
      <c r="J44" t="s">
        <v>21</v>
      </c>
      <c r="L44" t="s">
        <v>31</v>
      </c>
      <c r="M44" t="s">
        <v>22</v>
      </c>
      <c r="N44" t="s">
        <v>23</v>
      </c>
      <c r="P44">
        <f>[1]SENSEX!X17</f>
        <v>3</v>
      </c>
      <c r="Q44">
        <f t="shared" si="1"/>
        <v>1</v>
      </c>
      <c r="R44">
        <f>[1]SENSEX!E17</f>
        <v>138</v>
      </c>
      <c r="S44">
        <f t="shared" si="2"/>
        <v>135</v>
      </c>
    </row>
    <row r="45" spans="1:19" x14ac:dyDescent="0.35">
      <c r="A45" t="str">
        <f>[1]SENSEX!Q18</f>
        <v>SENSEX25D1883800PE</v>
      </c>
      <c r="B45" t="s">
        <v>26</v>
      </c>
      <c r="C45" t="s">
        <v>29</v>
      </c>
      <c r="D45">
        <v>20</v>
      </c>
      <c r="E45" t="s">
        <v>24</v>
      </c>
      <c r="F45" t="s">
        <v>25</v>
      </c>
      <c r="H45" t="s">
        <v>27</v>
      </c>
      <c r="I45" t="s">
        <v>20</v>
      </c>
      <c r="J45" t="s">
        <v>21</v>
      </c>
      <c r="L45" t="s">
        <v>31</v>
      </c>
      <c r="M45" t="s">
        <v>22</v>
      </c>
      <c r="N45" t="s">
        <v>23</v>
      </c>
      <c r="P45">
        <f>[1]SENSEX!X18</f>
        <v>110</v>
      </c>
      <c r="Q45">
        <f t="shared" si="1"/>
        <v>108</v>
      </c>
      <c r="R45">
        <f>[1]SENSEX!E18</f>
        <v>218</v>
      </c>
      <c r="S45">
        <f t="shared" si="2"/>
        <v>215</v>
      </c>
    </row>
    <row r="46" spans="1:19" x14ac:dyDescent="0.35">
      <c r="A46" t="str">
        <f>[1]SENSEX!Q19</f>
        <v>SENSEX25D1883800CE</v>
      </c>
      <c r="B46" t="s">
        <v>26</v>
      </c>
      <c r="C46" t="s">
        <v>29</v>
      </c>
      <c r="D46">
        <v>20</v>
      </c>
      <c r="E46" t="s">
        <v>24</v>
      </c>
      <c r="F46" t="s">
        <v>25</v>
      </c>
      <c r="H46" t="s">
        <v>27</v>
      </c>
      <c r="I46" t="s">
        <v>20</v>
      </c>
      <c r="J46" t="s">
        <v>21</v>
      </c>
      <c r="L46" t="s">
        <v>31</v>
      </c>
      <c r="M46" t="s">
        <v>22</v>
      </c>
      <c r="N46" t="s">
        <v>23</v>
      </c>
      <c r="P46">
        <f>[1]SENSEX!X19</f>
        <v>225</v>
      </c>
      <c r="Q46">
        <f t="shared" si="1"/>
        <v>223</v>
      </c>
      <c r="R46">
        <f>[1]SENSEX!E19</f>
        <v>418</v>
      </c>
      <c r="S46">
        <f t="shared" si="2"/>
        <v>415</v>
      </c>
    </row>
    <row r="47" spans="1:19" x14ac:dyDescent="0.35">
      <c r="A47" t="str">
        <f>[1]SENSEX!Q20</f>
        <v>SENSEX25D1883900CE</v>
      </c>
      <c r="B47" t="s">
        <v>26</v>
      </c>
      <c r="C47" t="s">
        <v>29</v>
      </c>
      <c r="D47">
        <v>20</v>
      </c>
      <c r="E47" t="s">
        <v>24</v>
      </c>
      <c r="F47" t="s">
        <v>25</v>
      </c>
      <c r="H47" t="s">
        <v>27</v>
      </c>
      <c r="I47" t="s">
        <v>20</v>
      </c>
      <c r="J47" t="s">
        <v>21</v>
      </c>
      <c r="L47" t="s">
        <v>31</v>
      </c>
      <c r="M47" t="s">
        <v>22</v>
      </c>
      <c r="N47" t="s">
        <v>23</v>
      </c>
      <c r="P47">
        <f>[1]SENSEX!X20</f>
        <v>225</v>
      </c>
      <c r="Q47">
        <f t="shared" si="1"/>
        <v>223</v>
      </c>
      <c r="R47">
        <f>[1]SENSEX!E20</f>
        <v>418</v>
      </c>
      <c r="S47">
        <f t="shared" si="2"/>
        <v>415</v>
      </c>
    </row>
    <row r="48" spans="1:19" x14ac:dyDescent="0.35">
      <c r="A48" t="str">
        <f>[1]SENSEX!Q21</f>
        <v>SENSEX25D1884000CE</v>
      </c>
      <c r="B48" t="s">
        <v>26</v>
      </c>
      <c r="C48" t="s">
        <v>29</v>
      </c>
      <c r="D48">
        <v>20</v>
      </c>
      <c r="E48" t="s">
        <v>24</v>
      </c>
      <c r="F48" t="s">
        <v>25</v>
      </c>
      <c r="H48" t="s">
        <v>27</v>
      </c>
      <c r="I48" t="s">
        <v>20</v>
      </c>
      <c r="J48" t="s">
        <v>21</v>
      </c>
      <c r="L48" t="s">
        <v>31</v>
      </c>
      <c r="M48" t="s">
        <v>22</v>
      </c>
      <c r="N48" t="s">
        <v>23</v>
      </c>
      <c r="P48">
        <f>[1]SENSEX!X21</f>
        <v>225</v>
      </c>
      <c r="Q48">
        <f t="shared" si="1"/>
        <v>223</v>
      </c>
      <c r="R48">
        <f>[1]SENSEX!E21</f>
        <v>388</v>
      </c>
      <c r="S48">
        <f t="shared" si="2"/>
        <v>385</v>
      </c>
    </row>
    <row r="49" spans="1:19" x14ac:dyDescent="0.35">
      <c r="A49" t="str">
        <f>[1]SENSEX!Q22</f>
        <v>SENSEX25D1884300CE</v>
      </c>
      <c r="B49" t="s">
        <v>26</v>
      </c>
      <c r="C49" t="s">
        <v>29</v>
      </c>
      <c r="D49">
        <v>20</v>
      </c>
      <c r="E49" t="s">
        <v>24</v>
      </c>
      <c r="F49" t="s">
        <v>25</v>
      </c>
      <c r="H49" t="s">
        <v>27</v>
      </c>
      <c r="I49" t="s">
        <v>20</v>
      </c>
      <c r="J49" t="s">
        <v>21</v>
      </c>
      <c r="L49" t="s">
        <v>31</v>
      </c>
      <c r="M49" t="s">
        <v>22</v>
      </c>
      <c r="N49" t="s">
        <v>23</v>
      </c>
      <c r="P49">
        <f>[1]SENSEX!X22</f>
        <v>110</v>
      </c>
      <c r="Q49">
        <f t="shared" si="1"/>
        <v>108</v>
      </c>
      <c r="R49">
        <f>[1]SENSEX!E22</f>
        <v>218</v>
      </c>
      <c r="S49">
        <f t="shared" si="2"/>
        <v>215</v>
      </c>
    </row>
    <row r="50" spans="1:19" x14ac:dyDescent="0.35">
      <c r="A50" t="str">
        <f>[1]SENSEX!Q23</f>
        <v>SENSEX25D1884600CE</v>
      </c>
      <c r="B50" t="s">
        <v>26</v>
      </c>
      <c r="C50" t="s">
        <v>29</v>
      </c>
      <c r="D50">
        <v>20</v>
      </c>
      <c r="E50" t="s">
        <v>24</v>
      </c>
      <c r="F50" t="s">
        <v>25</v>
      </c>
      <c r="H50" t="s">
        <v>27</v>
      </c>
      <c r="I50" t="s">
        <v>20</v>
      </c>
      <c r="J50" t="s">
        <v>21</v>
      </c>
      <c r="L50" t="s">
        <v>31</v>
      </c>
      <c r="M50" t="s">
        <v>22</v>
      </c>
      <c r="N50" t="s">
        <v>23</v>
      </c>
      <c r="P50">
        <f>[1]SENSEX!X23</f>
        <v>3</v>
      </c>
      <c r="Q50">
        <f t="shared" si="1"/>
        <v>1</v>
      </c>
      <c r="R50">
        <f>[1]SENSEX!E23</f>
        <v>138</v>
      </c>
      <c r="S50">
        <f t="shared" si="2"/>
        <v>135</v>
      </c>
    </row>
    <row r="51" spans="1:19" x14ac:dyDescent="0.35">
      <c r="A51" t="str">
        <f>[1]SENSEX!Q24</f>
        <v>SENSEX25D1884800CE</v>
      </c>
      <c r="B51" t="s">
        <v>26</v>
      </c>
      <c r="C51" t="s">
        <v>29</v>
      </c>
      <c r="D51">
        <v>20</v>
      </c>
      <c r="E51" t="s">
        <v>24</v>
      </c>
      <c r="F51" t="s">
        <v>25</v>
      </c>
      <c r="H51" t="s">
        <v>27</v>
      </c>
      <c r="I51" t="s">
        <v>20</v>
      </c>
      <c r="J51" t="s">
        <v>21</v>
      </c>
      <c r="L51" t="s">
        <v>31</v>
      </c>
      <c r="M51" t="s">
        <v>22</v>
      </c>
      <c r="N51" t="s">
        <v>23</v>
      </c>
      <c r="P51">
        <f>[1]SENSEX!X24</f>
        <v>110</v>
      </c>
      <c r="Q51">
        <f t="shared" si="1"/>
        <v>108</v>
      </c>
      <c r="R51">
        <f>[1]SENSEX!E24</f>
        <v>218</v>
      </c>
      <c r="S51">
        <f t="shared" si="2"/>
        <v>215</v>
      </c>
    </row>
    <row r="52" spans="1:19" x14ac:dyDescent="0.35">
      <c r="A52" t="str">
        <f>[1]SENSEX!Q25</f>
        <v>SENSEX25D1885800PE</v>
      </c>
      <c r="B52" t="s">
        <v>26</v>
      </c>
      <c r="C52" t="s">
        <v>29</v>
      </c>
      <c r="D52">
        <v>20</v>
      </c>
      <c r="E52" t="s">
        <v>24</v>
      </c>
      <c r="F52" t="s">
        <v>25</v>
      </c>
      <c r="H52" t="s">
        <v>27</v>
      </c>
      <c r="I52" t="s">
        <v>20</v>
      </c>
      <c r="J52" t="s">
        <v>21</v>
      </c>
      <c r="L52" t="s">
        <v>31</v>
      </c>
      <c r="M52" t="s">
        <v>22</v>
      </c>
      <c r="N52" t="s">
        <v>23</v>
      </c>
      <c r="P52">
        <f>[1]SENSEX!X25</f>
        <v>225</v>
      </c>
      <c r="Q52">
        <f t="shared" si="1"/>
        <v>223</v>
      </c>
      <c r="R52">
        <f>[1]SENSEX!E25</f>
        <v>418</v>
      </c>
      <c r="S52">
        <f t="shared" si="2"/>
        <v>415</v>
      </c>
    </row>
    <row r="53" spans="1:19" x14ac:dyDescent="0.35">
      <c r="A53" t="str">
        <f>[1]SENSEX!Q26</f>
        <v>SENSEX25D1885700PE</v>
      </c>
      <c r="B53" t="s">
        <v>26</v>
      </c>
      <c r="C53" t="s">
        <v>29</v>
      </c>
      <c r="D53">
        <v>20</v>
      </c>
      <c r="E53" t="s">
        <v>24</v>
      </c>
      <c r="F53" t="s">
        <v>25</v>
      </c>
      <c r="H53" t="s">
        <v>27</v>
      </c>
      <c r="I53" t="s">
        <v>20</v>
      </c>
      <c r="J53" t="s">
        <v>21</v>
      </c>
      <c r="L53" t="s">
        <v>31</v>
      </c>
      <c r="M53" t="s">
        <v>22</v>
      </c>
      <c r="N53" t="s">
        <v>23</v>
      </c>
      <c r="P53">
        <f>[1]SENSEX!X26</f>
        <v>225</v>
      </c>
      <c r="Q53">
        <f t="shared" si="1"/>
        <v>223</v>
      </c>
      <c r="R53">
        <f>[1]SENSEX!E26</f>
        <v>418</v>
      </c>
      <c r="S53">
        <f t="shared" si="2"/>
        <v>415</v>
      </c>
    </row>
    <row r="54" spans="1:19" x14ac:dyDescent="0.35">
      <c r="A54" t="str">
        <f>[1]SENSEX!Q27</f>
        <v>SENSEX25D1885600PE</v>
      </c>
      <c r="B54" t="s">
        <v>26</v>
      </c>
      <c r="C54" t="s">
        <v>29</v>
      </c>
      <c r="D54">
        <v>20</v>
      </c>
      <c r="E54" t="s">
        <v>24</v>
      </c>
      <c r="F54" t="s">
        <v>25</v>
      </c>
      <c r="H54" t="s">
        <v>27</v>
      </c>
      <c r="I54" t="s">
        <v>20</v>
      </c>
      <c r="J54" t="s">
        <v>21</v>
      </c>
      <c r="L54" t="s">
        <v>31</v>
      </c>
      <c r="M54" t="s">
        <v>22</v>
      </c>
      <c r="N54" t="s">
        <v>23</v>
      </c>
      <c r="P54">
        <f>[1]SENSEX!X27</f>
        <v>225</v>
      </c>
      <c r="Q54">
        <f t="shared" si="1"/>
        <v>223</v>
      </c>
      <c r="R54">
        <f>[1]SENSEX!E27</f>
        <v>388</v>
      </c>
      <c r="S54">
        <f t="shared" si="2"/>
        <v>385</v>
      </c>
    </row>
    <row r="55" spans="1:19" x14ac:dyDescent="0.35">
      <c r="A55" t="str">
        <f>[1]SENSEX!Q28</f>
        <v>SENSEX25D1885300PE</v>
      </c>
      <c r="B55" t="s">
        <v>26</v>
      </c>
      <c r="C55" t="s">
        <v>29</v>
      </c>
      <c r="D55">
        <v>20</v>
      </c>
      <c r="E55" t="s">
        <v>24</v>
      </c>
      <c r="F55" t="s">
        <v>25</v>
      </c>
      <c r="H55" t="s">
        <v>27</v>
      </c>
      <c r="I55" t="s">
        <v>20</v>
      </c>
      <c r="J55" t="s">
        <v>21</v>
      </c>
      <c r="L55" t="s">
        <v>31</v>
      </c>
      <c r="M55" t="s">
        <v>22</v>
      </c>
      <c r="N55" t="s">
        <v>23</v>
      </c>
      <c r="P55">
        <f>[1]SENSEX!X28</f>
        <v>110</v>
      </c>
      <c r="Q55">
        <f t="shared" si="1"/>
        <v>108</v>
      </c>
      <c r="R55">
        <f>[1]SENSEX!E28</f>
        <v>218</v>
      </c>
      <c r="S55">
        <f t="shared" si="2"/>
        <v>215</v>
      </c>
    </row>
    <row r="56" spans="1:19" x14ac:dyDescent="0.35">
      <c r="A56" t="str">
        <f>[1]SENSEX!Q29</f>
        <v>SENSEX25D1885000PE</v>
      </c>
      <c r="B56" t="s">
        <v>26</v>
      </c>
      <c r="C56" t="s">
        <v>29</v>
      </c>
      <c r="D56">
        <v>20</v>
      </c>
      <c r="E56" t="s">
        <v>24</v>
      </c>
      <c r="F56" t="s">
        <v>25</v>
      </c>
      <c r="H56" t="s">
        <v>27</v>
      </c>
      <c r="I56" t="s">
        <v>20</v>
      </c>
      <c r="J56" t="s">
        <v>21</v>
      </c>
      <c r="L56" t="s">
        <v>31</v>
      </c>
      <c r="M56" t="s">
        <v>22</v>
      </c>
      <c r="N56" t="s">
        <v>23</v>
      </c>
      <c r="P56">
        <f>[1]SENSEX!X29</f>
        <v>3</v>
      </c>
      <c r="Q56">
        <f t="shared" si="1"/>
        <v>1</v>
      </c>
      <c r="R56">
        <f>[1]SENSEX!E29</f>
        <v>138</v>
      </c>
      <c r="S56">
        <f t="shared" si="2"/>
        <v>135</v>
      </c>
    </row>
    <row r="57" spans="1:19" x14ac:dyDescent="0.35">
      <c r="A57" t="str">
        <f>[1]SENSEX!Q30</f>
        <v>SENSEX25D1884800PE</v>
      </c>
      <c r="B57" t="s">
        <v>26</v>
      </c>
      <c r="C57" t="s">
        <v>29</v>
      </c>
      <c r="D57">
        <v>20</v>
      </c>
      <c r="E57" t="s">
        <v>24</v>
      </c>
      <c r="F57" t="s">
        <v>25</v>
      </c>
      <c r="H57" t="s">
        <v>27</v>
      </c>
      <c r="I57" t="s">
        <v>20</v>
      </c>
      <c r="J57" t="s">
        <v>21</v>
      </c>
      <c r="L57" t="s">
        <v>31</v>
      </c>
      <c r="M57" t="s">
        <v>22</v>
      </c>
      <c r="N57" t="s">
        <v>23</v>
      </c>
      <c r="P57">
        <f>[1]SENSEX!X30</f>
        <v>110</v>
      </c>
      <c r="Q57">
        <f t="shared" si="1"/>
        <v>108</v>
      </c>
      <c r="R57">
        <f>[1]SENSEX!E30</f>
        <v>218</v>
      </c>
      <c r="S57">
        <f t="shared" si="2"/>
        <v>215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Orders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Damu</dc:creator>
  <cp:lastModifiedBy>Damodara Rao</cp:lastModifiedBy>
  <dcterms:created xsi:type="dcterms:W3CDTF">2025-12-09T06:16:29Z</dcterms:created>
  <dcterms:modified xsi:type="dcterms:W3CDTF">2025-12-11T14:53:06Z</dcterms:modified>
</cp:coreProperties>
</file>